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wertung" sheetId="1" state="visible" r:id="rId1"/>
    <sheet name="Raumliste" sheetId="2" state="visible" r:id="rId2"/>
    <sheet name="DIN277-Katalog" sheetId="3" state="visible" r:id="rId3"/>
    <sheet name="Hinweise" sheetId="4" state="visible" r:id="rId4"/>
  </sheets>
  <definedNames>
    <definedName name="_xlnm._FilterDatabase" localSheetId="1" hidden="1">'Raumliste'!$A$1:$L$153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-#,##0.00;&quot;-&quot;"/>
    <numFmt numFmtId="165" formatCode="0.0%"/>
  </numFmts>
  <fonts count="10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  <font>
      <name val="Arial"/>
      <color rgb="000000FF"/>
    </font>
    <font>
      <name val="Arial"/>
      <b val="1"/>
      <color rgb="00C00000"/>
    </font>
    <font>
      <name val="Arial"/>
      <b val="1"/>
      <sz val="14"/>
    </font>
    <font>
      <name val="Arial"/>
      <i val="1"/>
      <color rgb="00595959"/>
    </font>
    <font>
      <name val="Arial"/>
      <b val="1"/>
    </font>
    <font>
      <name val="Arial"/>
      <color rgb="0080808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pivotButton="0" quotePrefix="0" xfId="0"/>
    <xf numFmtId="164" fontId="1" fillId="0" borderId="1" pivotButton="0" quotePrefix="0" xfId="0"/>
    <xf numFmtId="165" fontId="1" fillId="0" borderId="1" pivotButton="0" quotePrefix="0" xfId="0"/>
    <xf numFmtId="0" fontId="8" fillId="0" borderId="1" applyAlignment="1" pivotButton="0" quotePrefix="0" xfId="0">
      <alignment horizontal="center"/>
    </xf>
    <xf numFmtId="0" fontId="7" fillId="4" borderId="1" pivotButton="0" quotePrefix="0" xfId="0"/>
    <xf numFmtId="164" fontId="7" fillId="4" borderId="1" pivotButton="0" quotePrefix="0" xfId="0"/>
    <xf numFmtId="165" fontId="7" fillId="4" borderId="1" pivotButton="0" quotePrefix="0" xfId="0"/>
    <xf numFmtId="0" fontId="8" fillId="4" borderId="1" applyAlignment="1" pivotButton="0" quotePrefix="0" xfId="0">
      <alignment horizontal="center"/>
    </xf>
    <xf numFmtId="0" fontId="7" fillId="5" borderId="1" pivotButton="0" quotePrefix="0" xfId="0"/>
    <xf numFmtId="164" fontId="7" fillId="5" borderId="1" pivotButton="0" quotePrefix="0" xfId="0"/>
    <xf numFmtId="165" fontId="7" fillId="5" borderId="1" pivotButton="0" quotePrefix="0" xfId="0"/>
    <xf numFmtId="0" fontId="7" fillId="5" borderId="1" applyAlignment="1" pivotButton="0" quotePrefix="0" xfId="0">
      <alignment horizontal="center"/>
    </xf>
    <xf numFmtId="0" fontId="9" fillId="0" borderId="0" pivotButton="0" quotePrefix="0" xfId="0"/>
    <xf numFmtId="0" fontId="2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vertical="center" wrapText="1"/>
    </xf>
    <xf numFmtId="0" fontId="3" fillId="3" borderId="1" pivotButton="0" quotePrefix="0" xfId="0"/>
    <xf numFmtId="0" fontId="4" fillId="0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Auswertung</author>
  </authors>
  <commentList>
    <comment ref="R4" authorId="0" shapeId="0">
      <text>
        <t>n. e. = nicht ermittelbar: Die Datenquellen enthalten nur Raumpolygone, keine Geschossumrisse oder Konstruktionsflächen.</t>
      </text>
    </comment>
  </commentList>
</comments>
</file>

<file path=xl/comments/comment2.xml><?xml version="1.0" encoding="utf-8"?>
<comments xmlns="http://schemas.openxmlformats.org/spreadsheetml/2006/main">
  <authors>
    <author>Auswertung</author>
  </authors>
  <commentList>
    <comment ref="H1" authorId="0" shapeId="0">
      <text>
        <t>Eingabespalte (gelb): DIN-277-Code anpassen, z. B. 'NUF 2.1', 'TF 8', 'VF 9.1' oder 'offen'. Die Auswertung rechnet automatisch neu.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4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7" customWidth="1" min="18" max="18"/>
    <col width="7" customWidth="1" min="19" max="19"/>
  </cols>
  <sheetData>
    <row r="1">
      <c r="A1" s="1" t="inlineStr">
        <is>
          <t>Flächenauswertung nach DIN 277:2021 – alle Geschosse</t>
        </is>
      </c>
    </row>
    <row r="2">
      <c r="A2" s="2" t="inlineStr">
        <is>
          <t>Netto-Raumflächen in m², Bereich a (regulär umschlossen). Quelle: Repository cafm-acw, siehe Blatt „Hinweise“.</t>
        </is>
      </c>
    </row>
    <row r="4" ht="32" customHeight="1">
      <c r="A4" s="3" t="inlineStr">
        <is>
          <t>Gebäude</t>
        </is>
      </c>
      <c r="B4" s="3" t="inlineStr">
        <is>
          <t>Geschoss</t>
        </is>
      </c>
      <c r="C4" s="3" t="inlineStr">
        <is>
          <t>Räume</t>
        </is>
      </c>
      <c r="D4" s="3" t="inlineStr">
        <is>
          <t>NUF 1</t>
        </is>
      </c>
      <c r="E4" s="3" t="inlineStr">
        <is>
          <t>NUF 2</t>
        </is>
      </c>
      <c r="F4" s="3" t="inlineStr">
        <is>
          <t>NUF 3</t>
        </is>
      </c>
      <c r="G4" s="3" t="inlineStr">
        <is>
          <t>NUF 4</t>
        </is>
      </c>
      <c r="H4" s="3" t="inlineStr">
        <is>
          <t>NUF 5</t>
        </is>
      </c>
      <c r="I4" s="3" t="inlineStr">
        <is>
          <t>NUF 6</t>
        </is>
      </c>
      <c r="J4" s="3" t="inlineStr">
        <is>
          <t>NUF 7</t>
        </is>
      </c>
      <c r="K4" s="3" t="inlineStr">
        <is>
          <t>NUF gesamt</t>
        </is>
      </c>
      <c r="L4" s="3" t="inlineStr">
        <is>
          <t>TF</t>
        </is>
      </c>
      <c r="M4" s="3" t="inlineStr">
        <is>
          <t>VF</t>
        </is>
      </c>
      <c r="N4" s="3" t="inlineStr">
        <is>
          <t>NRF zugeordnet</t>
        </is>
      </c>
      <c r="O4" s="3" t="inlineStr">
        <is>
          <t>nicht zugeordnet</t>
        </is>
      </c>
      <c r="P4" s="3" t="inlineStr">
        <is>
          <t>NRF gesamt</t>
        </is>
      </c>
      <c r="Q4" s="3" t="inlineStr">
        <is>
          <t>Zuordnungs-quote</t>
        </is>
      </c>
      <c r="R4" s="3" t="inlineStr">
        <is>
          <t>BGF</t>
        </is>
      </c>
      <c r="S4" s="3" t="inlineStr">
        <is>
          <t>KGF</t>
        </is>
      </c>
    </row>
    <row r="5">
      <c r="A5" s="4" t="inlineStr">
        <is>
          <t>Testgebäude A (TEN-001)</t>
        </is>
      </c>
      <c r="B5" s="4" t="inlineStr">
        <is>
          <t>Testgeschoss 01 / 01</t>
        </is>
      </c>
      <c r="C5" s="4">
        <f>COUNTIFS(Raumliste!$B$2:$B$153,$A5,Raumliste!$C$2:$C$153,$B5)</f>
        <v/>
      </c>
      <c r="D5" s="5">
        <f>SUMIFS(Raumliste!$G$2:$G$153,Raumliste!$B$2:$B$153,$A5,Raumliste!$C$2:$C$153,$B5,Raumliste!$I$2:$I$153,"NUF 1")</f>
        <v/>
      </c>
      <c r="E5" s="5">
        <f>SUMIFS(Raumliste!$G$2:$G$153,Raumliste!$B$2:$B$153,$A5,Raumliste!$C$2:$C$153,$B5,Raumliste!$I$2:$I$153,"NUF 2")</f>
        <v/>
      </c>
      <c r="F5" s="5">
        <f>SUMIFS(Raumliste!$G$2:$G$153,Raumliste!$B$2:$B$153,$A5,Raumliste!$C$2:$C$153,$B5,Raumliste!$I$2:$I$153,"NUF 3")</f>
        <v/>
      </c>
      <c r="G5" s="5">
        <f>SUMIFS(Raumliste!$G$2:$G$153,Raumliste!$B$2:$B$153,$A5,Raumliste!$C$2:$C$153,$B5,Raumliste!$I$2:$I$153,"NUF 4")</f>
        <v/>
      </c>
      <c r="H5" s="5">
        <f>SUMIFS(Raumliste!$G$2:$G$153,Raumliste!$B$2:$B$153,$A5,Raumliste!$C$2:$C$153,$B5,Raumliste!$I$2:$I$153,"NUF 5")</f>
        <v/>
      </c>
      <c r="I5" s="5">
        <f>SUMIFS(Raumliste!$G$2:$G$153,Raumliste!$B$2:$B$153,$A5,Raumliste!$C$2:$C$153,$B5,Raumliste!$I$2:$I$153,"NUF 6")</f>
        <v/>
      </c>
      <c r="J5" s="5">
        <f>SUMIFS(Raumliste!$G$2:$G$153,Raumliste!$B$2:$B$153,$A5,Raumliste!$C$2:$C$153,$B5,Raumliste!$I$2:$I$153,"NUF 7")</f>
        <v/>
      </c>
      <c r="K5" s="5">
        <f>SUM(D5:J5)</f>
        <v/>
      </c>
      <c r="L5" s="5">
        <f>SUMIFS(Raumliste!$G$2:$G$153,Raumliste!$B$2:$B$153,$A5,Raumliste!$C$2:$C$153,$B5,Raumliste!$I$2:$I$153,"TF")</f>
        <v/>
      </c>
      <c r="M5" s="5">
        <f>SUMIFS(Raumliste!$G$2:$G$153,Raumliste!$B$2:$B$153,$A5,Raumliste!$C$2:$C$153,$B5,Raumliste!$I$2:$I$153,"VF")</f>
        <v/>
      </c>
      <c r="N5" s="5">
        <f>K5+L5+M5</f>
        <v/>
      </c>
      <c r="O5" s="5">
        <f>SUMIFS(Raumliste!$G$2:$G$153,Raumliste!$B$2:$B$153,$A5,Raumliste!$C$2:$C$153,$B5,Raumliste!$I$2:$I$153,"offen")</f>
        <v/>
      </c>
      <c r="P5" s="5">
        <f>N5+O5</f>
        <v/>
      </c>
      <c r="Q5" s="6">
        <f>IF(P5=0,0,N5/P5)</f>
        <v/>
      </c>
      <c r="R5" s="7" t="inlineStr">
        <is>
          <t>n. e.</t>
        </is>
      </c>
      <c r="S5" s="7" t="inlineStr">
        <is>
          <t>n. e.</t>
        </is>
      </c>
    </row>
    <row r="6">
      <c r="A6" s="4" t="inlineStr">
        <is>
          <t>Testgebäude A (TEN-001)</t>
        </is>
      </c>
      <c r="B6" s="4" t="inlineStr">
        <is>
          <t>02 / 1.Obergeschoss</t>
        </is>
      </c>
      <c r="C6" s="4">
        <f>COUNTIFS(Raumliste!$B$2:$B$153,$A6,Raumliste!$C$2:$C$153,$B6)</f>
        <v/>
      </c>
      <c r="D6" s="5">
        <f>SUMIFS(Raumliste!$G$2:$G$153,Raumliste!$B$2:$B$153,$A6,Raumliste!$C$2:$C$153,$B6,Raumliste!$I$2:$I$153,"NUF 1")</f>
        <v/>
      </c>
      <c r="E6" s="5">
        <f>SUMIFS(Raumliste!$G$2:$G$153,Raumliste!$B$2:$B$153,$A6,Raumliste!$C$2:$C$153,$B6,Raumliste!$I$2:$I$153,"NUF 2")</f>
        <v/>
      </c>
      <c r="F6" s="5">
        <f>SUMIFS(Raumliste!$G$2:$G$153,Raumliste!$B$2:$B$153,$A6,Raumliste!$C$2:$C$153,$B6,Raumliste!$I$2:$I$153,"NUF 3")</f>
        <v/>
      </c>
      <c r="G6" s="5">
        <f>SUMIFS(Raumliste!$G$2:$G$153,Raumliste!$B$2:$B$153,$A6,Raumliste!$C$2:$C$153,$B6,Raumliste!$I$2:$I$153,"NUF 4")</f>
        <v/>
      </c>
      <c r="H6" s="5">
        <f>SUMIFS(Raumliste!$G$2:$G$153,Raumliste!$B$2:$B$153,$A6,Raumliste!$C$2:$C$153,$B6,Raumliste!$I$2:$I$153,"NUF 5")</f>
        <v/>
      </c>
      <c r="I6" s="5">
        <f>SUMIFS(Raumliste!$G$2:$G$153,Raumliste!$B$2:$B$153,$A6,Raumliste!$C$2:$C$153,$B6,Raumliste!$I$2:$I$153,"NUF 6")</f>
        <v/>
      </c>
      <c r="J6" s="5">
        <f>SUMIFS(Raumliste!$G$2:$G$153,Raumliste!$B$2:$B$153,$A6,Raumliste!$C$2:$C$153,$B6,Raumliste!$I$2:$I$153,"NUF 7")</f>
        <v/>
      </c>
      <c r="K6" s="5">
        <f>SUM(D6:J6)</f>
        <v/>
      </c>
      <c r="L6" s="5">
        <f>SUMIFS(Raumliste!$G$2:$G$153,Raumliste!$B$2:$B$153,$A6,Raumliste!$C$2:$C$153,$B6,Raumliste!$I$2:$I$153,"TF")</f>
        <v/>
      </c>
      <c r="M6" s="5">
        <f>SUMIFS(Raumliste!$G$2:$G$153,Raumliste!$B$2:$B$153,$A6,Raumliste!$C$2:$C$153,$B6,Raumliste!$I$2:$I$153,"VF")</f>
        <v/>
      </c>
      <c r="N6" s="5">
        <f>K6+L6+M6</f>
        <v/>
      </c>
      <c r="O6" s="5">
        <f>SUMIFS(Raumliste!$G$2:$G$153,Raumliste!$B$2:$B$153,$A6,Raumliste!$C$2:$C$153,$B6,Raumliste!$I$2:$I$153,"offen")</f>
        <v/>
      </c>
      <c r="P6" s="5">
        <f>N6+O6</f>
        <v/>
      </c>
      <c r="Q6" s="6">
        <f>IF(P6=0,0,N6/P6)</f>
        <v/>
      </c>
      <c r="R6" s="7" t="inlineStr">
        <is>
          <t>n. e.</t>
        </is>
      </c>
      <c r="S6" s="7" t="inlineStr">
        <is>
          <t>n. e.</t>
        </is>
      </c>
    </row>
    <row r="7">
      <c r="A7" s="8" t="inlineStr">
        <is>
          <t>Testgebäude A (TEN-001)</t>
        </is>
      </c>
      <c r="B7" s="8" t="inlineStr">
        <is>
          <t>Summe Gebäude</t>
        </is>
      </c>
      <c r="C7" s="8">
        <f>SUM(C5:C6)</f>
        <v/>
      </c>
      <c r="D7" s="9">
        <f>SUM(D5:D6)</f>
        <v/>
      </c>
      <c r="E7" s="9">
        <f>SUM(E5:E6)</f>
        <v/>
      </c>
      <c r="F7" s="9">
        <f>SUM(F5:F6)</f>
        <v/>
      </c>
      <c r="G7" s="9">
        <f>SUM(G5:G6)</f>
        <v/>
      </c>
      <c r="H7" s="9">
        <f>SUM(H5:H6)</f>
        <v/>
      </c>
      <c r="I7" s="9">
        <f>SUM(I5:I6)</f>
        <v/>
      </c>
      <c r="J7" s="9">
        <f>SUM(J5:J6)</f>
        <v/>
      </c>
      <c r="K7" s="9">
        <f>SUM(K5:K6)</f>
        <v/>
      </c>
      <c r="L7" s="9">
        <f>SUM(L5:L6)</f>
        <v/>
      </c>
      <c r="M7" s="9">
        <f>SUM(M5:M6)</f>
        <v/>
      </c>
      <c r="N7" s="9">
        <f>SUM(N5:N6)</f>
        <v/>
      </c>
      <c r="O7" s="9">
        <f>SUM(O5:O6)</f>
        <v/>
      </c>
      <c r="P7" s="9">
        <f>SUM(P5:P6)</f>
        <v/>
      </c>
      <c r="Q7" s="10">
        <f>IF(P7=0,0,N7/P7)</f>
        <v/>
      </c>
      <c r="R7" s="11" t="inlineStr">
        <is>
          <t>n. e.</t>
        </is>
      </c>
      <c r="S7" s="11" t="inlineStr">
        <is>
          <t>n. e.</t>
        </is>
      </c>
    </row>
    <row r="8">
      <c r="A8" s="4" t="inlineStr">
        <is>
          <t>Testgebäude A (TEN-002)</t>
        </is>
      </c>
      <c r="B8" s="4" t="inlineStr">
        <is>
          <t>Testgeschoss 01 / 01</t>
        </is>
      </c>
      <c r="C8" s="4">
        <f>COUNTIFS(Raumliste!$B$2:$B$153,$A8,Raumliste!$C$2:$C$153,$B8)</f>
        <v/>
      </c>
      <c r="D8" s="5">
        <f>SUMIFS(Raumliste!$G$2:$G$153,Raumliste!$B$2:$B$153,$A8,Raumliste!$C$2:$C$153,$B8,Raumliste!$I$2:$I$153,"NUF 1")</f>
        <v/>
      </c>
      <c r="E8" s="5">
        <f>SUMIFS(Raumliste!$G$2:$G$153,Raumliste!$B$2:$B$153,$A8,Raumliste!$C$2:$C$153,$B8,Raumliste!$I$2:$I$153,"NUF 2")</f>
        <v/>
      </c>
      <c r="F8" s="5">
        <f>SUMIFS(Raumliste!$G$2:$G$153,Raumliste!$B$2:$B$153,$A8,Raumliste!$C$2:$C$153,$B8,Raumliste!$I$2:$I$153,"NUF 3")</f>
        <v/>
      </c>
      <c r="G8" s="5">
        <f>SUMIFS(Raumliste!$G$2:$G$153,Raumliste!$B$2:$B$153,$A8,Raumliste!$C$2:$C$153,$B8,Raumliste!$I$2:$I$153,"NUF 4")</f>
        <v/>
      </c>
      <c r="H8" s="5">
        <f>SUMIFS(Raumliste!$G$2:$G$153,Raumliste!$B$2:$B$153,$A8,Raumliste!$C$2:$C$153,$B8,Raumliste!$I$2:$I$153,"NUF 5")</f>
        <v/>
      </c>
      <c r="I8" s="5">
        <f>SUMIFS(Raumliste!$G$2:$G$153,Raumliste!$B$2:$B$153,$A8,Raumliste!$C$2:$C$153,$B8,Raumliste!$I$2:$I$153,"NUF 6")</f>
        <v/>
      </c>
      <c r="J8" s="5">
        <f>SUMIFS(Raumliste!$G$2:$G$153,Raumliste!$B$2:$B$153,$A8,Raumliste!$C$2:$C$153,$B8,Raumliste!$I$2:$I$153,"NUF 7")</f>
        <v/>
      </c>
      <c r="K8" s="5">
        <f>SUM(D8:J8)</f>
        <v/>
      </c>
      <c r="L8" s="5">
        <f>SUMIFS(Raumliste!$G$2:$G$153,Raumliste!$B$2:$B$153,$A8,Raumliste!$C$2:$C$153,$B8,Raumliste!$I$2:$I$153,"TF")</f>
        <v/>
      </c>
      <c r="M8" s="5">
        <f>SUMIFS(Raumliste!$G$2:$G$153,Raumliste!$B$2:$B$153,$A8,Raumliste!$C$2:$C$153,$B8,Raumliste!$I$2:$I$153,"VF")</f>
        <v/>
      </c>
      <c r="N8" s="5">
        <f>K8+L8+M8</f>
        <v/>
      </c>
      <c r="O8" s="5">
        <f>SUMIFS(Raumliste!$G$2:$G$153,Raumliste!$B$2:$B$153,$A8,Raumliste!$C$2:$C$153,$B8,Raumliste!$I$2:$I$153,"offen")</f>
        <v/>
      </c>
      <c r="P8" s="5">
        <f>N8+O8</f>
        <v/>
      </c>
      <c r="Q8" s="6">
        <f>IF(P8=0,0,N8/P8)</f>
        <v/>
      </c>
      <c r="R8" s="7" t="inlineStr">
        <is>
          <t>n. e.</t>
        </is>
      </c>
      <c r="S8" s="7" t="inlineStr">
        <is>
          <t>n. e.</t>
        </is>
      </c>
    </row>
    <row r="9">
      <c r="A9" s="8" t="inlineStr">
        <is>
          <t>Testgebäude A (TEN-002)</t>
        </is>
      </c>
      <c r="B9" s="8" t="inlineStr">
        <is>
          <t>Summe Gebäude</t>
        </is>
      </c>
      <c r="C9" s="8">
        <f>SUM(C8:C8)</f>
        <v/>
      </c>
      <c r="D9" s="9">
        <f>SUM(D8:D8)</f>
        <v/>
      </c>
      <c r="E9" s="9">
        <f>SUM(E8:E8)</f>
        <v/>
      </c>
      <c r="F9" s="9">
        <f>SUM(F8:F8)</f>
        <v/>
      </c>
      <c r="G9" s="9">
        <f>SUM(G8:G8)</f>
        <v/>
      </c>
      <c r="H9" s="9">
        <f>SUM(H8:H8)</f>
        <v/>
      </c>
      <c r="I9" s="9">
        <f>SUM(I8:I8)</f>
        <v/>
      </c>
      <c r="J9" s="9">
        <f>SUM(J8:J8)</f>
        <v/>
      </c>
      <c r="K9" s="9">
        <f>SUM(K8:K8)</f>
        <v/>
      </c>
      <c r="L9" s="9">
        <f>SUM(L8:L8)</f>
        <v/>
      </c>
      <c r="M9" s="9">
        <f>SUM(M8:M8)</f>
        <v/>
      </c>
      <c r="N9" s="9">
        <f>SUM(N8:N8)</f>
        <v/>
      </c>
      <c r="O9" s="9">
        <f>SUM(O8:O8)</f>
        <v/>
      </c>
      <c r="P9" s="9">
        <f>SUM(P8:P8)</f>
        <v/>
      </c>
      <c r="Q9" s="10">
        <f>IF(P9=0,0,N9/P9)</f>
        <v/>
      </c>
      <c r="R9" s="11" t="inlineStr">
        <is>
          <t>n. e.</t>
        </is>
      </c>
      <c r="S9" s="11" t="inlineStr">
        <is>
          <t>n. e.</t>
        </is>
      </c>
    </row>
    <row r="10">
      <c r="A10" s="4" t="inlineStr">
        <is>
          <t>DE-SIE-11154 (EG-Zeichnung)</t>
        </is>
      </c>
      <c r="B10" s="4" t="inlineStr">
        <is>
          <t>EG</t>
        </is>
      </c>
      <c r="C10" s="4">
        <f>COUNTIFS(Raumliste!$B$2:$B$153,$A10,Raumliste!$C$2:$C$153,$B10)</f>
        <v/>
      </c>
      <c r="D10" s="5">
        <f>SUMIFS(Raumliste!$G$2:$G$153,Raumliste!$B$2:$B$153,$A10,Raumliste!$C$2:$C$153,$B10,Raumliste!$I$2:$I$153,"NUF 1")</f>
        <v/>
      </c>
      <c r="E10" s="5">
        <f>SUMIFS(Raumliste!$G$2:$G$153,Raumliste!$B$2:$B$153,$A10,Raumliste!$C$2:$C$153,$B10,Raumliste!$I$2:$I$153,"NUF 2")</f>
        <v/>
      </c>
      <c r="F10" s="5">
        <f>SUMIFS(Raumliste!$G$2:$G$153,Raumliste!$B$2:$B$153,$A10,Raumliste!$C$2:$C$153,$B10,Raumliste!$I$2:$I$153,"NUF 3")</f>
        <v/>
      </c>
      <c r="G10" s="5">
        <f>SUMIFS(Raumliste!$G$2:$G$153,Raumliste!$B$2:$B$153,$A10,Raumliste!$C$2:$C$153,$B10,Raumliste!$I$2:$I$153,"NUF 4")</f>
        <v/>
      </c>
      <c r="H10" s="5">
        <f>SUMIFS(Raumliste!$G$2:$G$153,Raumliste!$B$2:$B$153,$A10,Raumliste!$C$2:$C$153,$B10,Raumliste!$I$2:$I$153,"NUF 5")</f>
        <v/>
      </c>
      <c r="I10" s="5">
        <f>SUMIFS(Raumliste!$G$2:$G$153,Raumliste!$B$2:$B$153,$A10,Raumliste!$C$2:$C$153,$B10,Raumliste!$I$2:$I$153,"NUF 6")</f>
        <v/>
      </c>
      <c r="J10" s="5">
        <f>SUMIFS(Raumliste!$G$2:$G$153,Raumliste!$B$2:$B$153,$A10,Raumliste!$C$2:$C$153,$B10,Raumliste!$I$2:$I$153,"NUF 7")</f>
        <v/>
      </c>
      <c r="K10" s="5">
        <f>SUM(D10:J10)</f>
        <v/>
      </c>
      <c r="L10" s="5">
        <f>SUMIFS(Raumliste!$G$2:$G$153,Raumliste!$B$2:$B$153,$A10,Raumliste!$C$2:$C$153,$B10,Raumliste!$I$2:$I$153,"TF")</f>
        <v/>
      </c>
      <c r="M10" s="5">
        <f>SUMIFS(Raumliste!$G$2:$G$153,Raumliste!$B$2:$B$153,$A10,Raumliste!$C$2:$C$153,$B10,Raumliste!$I$2:$I$153,"VF")</f>
        <v/>
      </c>
      <c r="N10" s="5">
        <f>K10+L10+M10</f>
        <v/>
      </c>
      <c r="O10" s="5">
        <f>SUMIFS(Raumliste!$G$2:$G$153,Raumliste!$B$2:$B$153,$A10,Raumliste!$C$2:$C$153,$B10,Raumliste!$I$2:$I$153,"offen")</f>
        <v/>
      </c>
      <c r="P10" s="5">
        <f>N10+O10</f>
        <v/>
      </c>
      <c r="Q10" s="6">
        <f>IF(P10=0,0,N10/P10)</f>
        <v/>
      </c>
      <c r="R10" s="7" t="inlineStr">
        <is>
          <t>n. e.</t>
        </is>
      </c>
      <c r="S10" s="7" t="inlineStr">
        <is>
          <t>n. e.</t>
        </is>
      </c>
    </row>
    <row r="11">
      <c r="A11" s="8" t="inlineStr">
        <is>
          <t>DE-SIE-11154 (EG-Zeichnung)</t>
        </is>
      </c>
      <c r="B11" s="8" t="inlineStr">
        <is>
          <t>Summe Gebäude</t>
        </is>
      </c>
      <c r="C11" s="8">
        <f>SUM(C10:C10)</f>
        <v/>
      </c>
      <c r="D11" s="9">
        <f>SUM(D10:D10)</f>
        <v/>
      </c>
      <c r="E11" s="9">
        <f>SUM(E10:E10)</f>
        <v/>
      </c>
      <c r="F11" s="9">
        <f>SUM(F10:F10)</f>
        <v/>
      </c>
      <c r="G11" s="9">
        <f>SUM(G10:G10)</f>
        <v/>
      </c>
      <c r="H11" s="9">
        <f>SUM(H10:H10)</f>
        <v/>
      </c>
      <c r="I11" s="9">
        <f>SUM(I10:I10)</f>
        <v/>
      </c>
      <c r="J11" s="9">
        <f>SUM(J10:J10)</f>
        <v/>
      </c>
      <c r="K11" s="9">
        <f>SUM(K10:K10)</f>
        <v/>
      </c>
      <c r="L11" s="9">
        <f>SUM(L10:L10)</f>
        <v/>
      </c>
      <c r="M11" s="9">
        <f>SUM(M10:M10)</f>
        <v/>
      </c>
      <c r="N11" s="9">
        <f>SUM(N10:N10)</f>
        <v/>
      </c>
      <c r="O11" s="9">
        <f>SUM(O10:O10)</f>
        <v/>
      </c>
      <c r="P11" s="9">
        <f>SUM(P10:P10)</f>
        <v/>
      </c>
      <c r="Q11" s="10">
        <f>IF(P11=0,0,N11/P11)</f>
        <v/>
      </c>
      <c r="R11" s="11" t="inlineStr">
        <is>
          <t>n. e.</t>
        </is>
      </c>
      <c r="S11" s="11" t="inlineStr">
        <is>
          <t>n. e.</t>
        </is>
      </c>
    </row>
    <row r="12">
      <c r="A12" s="12" t="inlineStr">
        <is>
          <t>Gesamt alle Gebäude / Geschosse</t>
        </is>
      </c>
      <c r="B12" s="12" t="n"/>
      <c r="C12" s="12">
        <f>C7+C9+C11</f>
        <v/>
      </c>
      <c r="D12" s="13">
        <f>D7+D9+D11</f>
        <v/>
      </c>
      <c r="E12" s="13">
        <f>E7+E9+E11</f>
        <v/>
      </c>
      <c r="F12" s="13">
        <f>F7+F9+F11</f>
        <v/>
      </c>
      <c r="G12" s="13">
        <f>G7+G9+G11</f>
        <v/>
      </c>
      <c r="H12" s="13">
        <f>H7+H9+H11</f>
        <v/>
      </c>
      <c r="I12" s="13">
        <f>I7+I9+I11</f>
        <v/>
      </c>
      <c r="J12" s="13">
        <f>J7+J9+J11</f>
        <v/>
      </c>
      <c r="K12" s="13">
        <f>K7+K9+K11</f>
        <v/>
      </c>
      <c r="L12" s="13">
        <f>L7+L9+L11</f>
        <v/>
      </c>
      <c r="M12" s="13">
        <f>M7+M9+M11</f>
        <v/>
      </c>
      <c r="N12" s="13">
        <f>N7+N9+N11</f>
        <v/>
      </c>
      <c r="O12" s="13">
        <f>O7+O9+O11</f>
        <v/>
      </c>
      <c r="P12" s="13">
        <f>P7+P9+P11</f>
        <v/>
      </c>
      <c r="Q12" s="14">
        <f>IF(P12=0,0,N12/P12)</f>
        <v/>
      </c>
      <c r="R12" s="15" t="inlineStr">
        <is>
          <t>n. e.</t>
        </is>
      </c>
      <c r="S12" s="15" t="inlineStr">
        <is>
          <t>n. e.</t>
        </is>
      </c>
    </row>
    <row r="14">
      <c r="A14" s="16" t="inlineStr">
        <is>
          <t>Kennzahlen je Gebäude</t>
        </is>
      </c>
    </row>
    <row r="15">
      <c r="A15" s="17" t="inlineStr">
        <is>
          <t>Gebäude</t>
        </is>
      </c>
      <c r="B15" s="17" t="inlineStr">
        <is>
          <t>NUF / NRF</t>
        </is>
      </c>
      <c r="C15" s="17" t="inlineStr">
        <is>
          <t>VF / NUF</t>
        </is>
      </c>
      <c r="D15" s="17" t="inlineStr">
        <is>
          <t>TF / NRF</t>
        </is>
      </c>
      <c r="E15" s="17" t="inlineStr">
        <is>
          <t>Anteil NUF 2 Büro an NUF</t>
        </is>
      </c>
      <c r="F15" s="17" t="inlineStr">
        <is>
          <t>Räume zu prüfen</t>
        </is>
      </c>
    </row>
    <row r="16">
      <c r="A16" s="4">
        <f>A7</f>
        <v/>
      </c>
      <c r="B16" s="6">
        <f>IF(N7=0,0,K7/N7)</f>
        <v/>
      </c>
      <c r="C16" s="6">
        <f>IF(K7=0,0,M7/K7)</f>
        <v/>
      </c>
      <c r="D16" s="6">
        <f>IF(N7=0,0,L7/N7)</f>
        <v/>
      </c>
      <c r="E16" s="6">
        <f>IF(K7=0,0,E7/K7)</f>
        <v/>
      </c>
      <c r="F16" s="4">
        <f>COUNTIFS(Raumliste!$B$2:$B$153,A7,Raumliste!$K$2:$K$153,"ja")</f>
        <v/>
      </c>
    </row>
    <row r="17">
      <c r="A17" s="4">
        <f>A9</f>
        <v/>
      </c>
      <c r="B17" s="6">
        <f>IF(N9=0,0,K9/N9)</f>
        <v/>
      </c>
      <c r="C17" s="6">
        <f>IF(K9=0,0,M9/K9)</f>
        <v/>
      </c>
      <c r="D17" s="6">
        <f>IF(N9=0,0,L9/N9)</f>
        <v/>
      </c>
      <c r="E17" s="6">
        <f>IF(K9=0,0,E9/K9)</f>
        <v/>
      </c>
      <c r="F17" s="4">
        <f>COUNTIFS(Raumliste!$B$2:$B$153,A9,Raumliste!$K$2:$K$153,"ja")</f>
        <v/>
      </c>
    </row>
    <row r="18">
      <c r="A18" s="4">
        <f>A11</f>
        <v/>
      </c>
      <c r="B18" s="6">
        <f>IF(N11=0,0,K11/N11)</f>
        <v/>
      </c>
      <c r="C18" s="6">
        <f>IF(K11=0,0,M11/K11)</f>
        <v/>
      </c>
      <c r="D18" s="6">
        <f>IF(N11=0,0,L11/N11)</f>
        <v/>
      </c>
      <c r="E18" s="6">
        <f>IF(K11=0,0,E11/K11)</f>
        <v/>
      </c>
      <c r="F18" s="4">
        <f>COUNTIFS(Raumliste!$B$2:$B$153,A11,Raumliste!$K$2:$K$153,"ja")</f>
        <v/>
      </c>
    </row>
    <row r="19">
      <c r="A19" s="2" t="inlineStr">
        <is>
          <t>Bezugsgröße der Quoten: zugeordnete NRF (nicht zugeordnete Räume bleiben außen vor).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26" customWidth="1" min="3" max="3"/>
    <col width="11" customWidth="1" min="4" max="4"/>
    <col width="26" customWidth="1" min="5" max="5"/>
    <col width="18" customWidth="1" min="6" max="6"/>
    <col width="11" customWidth="1" min="7" max="7"/>
    <col width="13" customWidth="1" min="8" max="8"/>
    <col width="12" customWidth="1" min="9" max="9"/>
    <col width="24" customWidth="1" min="10" max="10"/>
    <col width="8" customWidth="1" min="11" max="11"/>
    <col width="26" customWidth="1" min="12" max="12"/>
  </cols>
  <sheetData>
    <row r="1">
      <c r="A1" s="18" t="inlineStr">
        <is>
          <t>Quelle</t>
        </is>
      </c>
      <c r="B1" s="18" t="inlineStr">
        <is>
          <t>Gebäude</t>
        </is>
      </c>
      <c r="C1" s="18" t="inlineStr">
        <is>
          <t>Geschoss</t>
        </is>
      </c>
      <c r="D1" s="18" t="inlineStr">
        <is>
          <t>Raumnr.</t>
        </is>
      </c>
      <c r="E1" s="18" t="inlineStr">
        <is>
          <t>Bezeichnung</t>
        </is>
      </c>
      <c r="F1" s="18" t="inlineStr">
        <is>
          <t>Nutzungsart (CAFM)</t>
        </is>
      </c>
      <c r="G1" s="18" t="inlineStr">
        <is>
          <t>NRF [m²]</t>
        </is>
      </c>
      <c r="H1" s="18" t="inlineStr">
        <is>
          <t>DIN 277 Code</t>
        </is>
      </c>
      <c r="I1" s="18" t="inlineStr">
        <is>
          <t>Hauptgruppe</t>
        </is>
      </c>
      <c r="J1" s="18" t="inlineStr">
        <is>
          <t>Zuordnung über</t>
        </is>
      </c>
      <c r="K1" s="18" t="inlineStr">
        <is>
          <t>prüfen</t>
        </is>
      </c>
      <c r="L1" s="18" t="inlineStr">
        <is>
          <t>Bemerkung</t>
        </is>
      </c>
    </row>
    <row r="2">
      <c r="A2" s="4" t="inlineStr">
        <is>
          <t>CAFM TEN-001</t>
        </is>
      </c>
      <c r="B2" s="4" t="inlineStr">
        <is>
          <t>Testgebäude A (TEN-001)</t>
        </is>
      </c>
      <c r="C2" s="4" t="inlineStr">
        <is>
          <t>Testgeschoss 01 / 01</t>
        </is>
      </c>
      <c r="D2" s="4" t="inlineStr">
        <is>
          <t>101</t>
        </is>
      </c>
      <c r="E2" s="4" t="inlineStr">
        <is>
          <t>Testraum 101</t>
        </is>
      </c>
      <c r="F2" s="4" t="inlineStr">
        <is>
          <t>Büro</t>
        </is>
      </c>
      <c r="G2" s="5" t="n"/>
      <c r="H2" s="19" t="inlineStr">
        <is>
          <t>NUF 2.1</t>
        </is>
      </c>
      <c r="I2" s="4">
        <f>IF(LEFT(H2,3)="NUF",LEFT(H2,5),IF(LEFT(H2,2)="TF","TF",IF(LEFT(H2,2)="VF","VF","offen")))</f>
        <v/>
      </c>
      <c r="J2" s="4" t="inlineStr">
        <is>
          <t>CAFM-Nutzungsart</t>
        </is>
      </c>
      <c r="K2" s="20" t="inlineStr">
        <is>
          <t>ja</t>
        </is>
      </c>
      <c r="L2" s="4" t="inlineStr">
        <is>
          <t>Netto-Raumfläche fehlt</t>
        </is>
      </c>
    </row>
    <row r="3">
      <c r="A3" s="4" t="inlineStr">
        <is>
          <t>CAFM TEN-001</t>
        </is>
      </c>
      <c r="B3" s="4" t="inlineStr">
        <is>
          <t>Testgebäude A (TEN-001)</t>
        </is>
      </c>
      <c r="C3" s="4" t="inlineStr">
        <is>
          <t>02 / 1.Obergeschoss</t>
        </is>
      </c>
      <c r="D3" s="4" t="inlineStr">
        <is>
          <t>025</t>
        </is>
      </c>
      <c r="E3" s="4" t="inlineStr">
        <is>
          <t>Büro</t>
        </is>
      </c>
      <c r="F3" s="4" t="inlineStr">
        <is>
          <t>Büro</t>
        </is>
      </c>
      <c r="G3" s="5" t="n">
        <v>34</v>
      </c>
      <c r="H3" s="19" t="inlineStr">
        <is>
          <t>NUF 2.1</t>
        </is>
      </c>
      <c r="I3" s="4">
        <f>IF(LEFT(H3,3)="NUF",LEFT(H3,5),IF(LEFT(H3,2)="TF","TF",IF(LEFT(H3,2)="VF","VF","offen")))</f>
        <v/>
      </c>
      <c r="J3" s="4" t="inlineStr">
        <is>
          <t>CAFM-Nutzungsart</t>
        </is>
      </c>
      <c r="K3" s="4" t="inlineStr">
        <is>
          <t>nein</t>
        </is>
      </c>
      <c r="L3" s="4" t="inlineStr"/>
    </row>
    <row r="4">
      <c r="A4" s="4" t="inlineStr">
        <is>
          <t>CAFM TEN-001</t>
        </is>
      </c>
      <c r="B4" s="4" t="inlineStr">
        <is>
          <t>Testgebäude A (TEN-001)</t>
        </is>
      </c>
      <c r="C4" s="4" t="inlineStr">
        <is>
          <t>Testgeschoss 01 / 01</t>
        </is>
      </c>
      <c r="D4" s="4" t="inlineStr">
        <is>
          <t>026</t>
        </is>
      </c>
      <c r="E4" s="4" t="inlineStr">
        <is>
          <t>Büro</t>
        </is>
      </c>
      <c r="F4" s="4" t="inlineStr">
        <is>
          <t>Büro</t>
        </is>
      </c>
      <c r="G4" s="5" t="n">
        <v>18.87</v>
      </c>
      <c r="H4" s="19" t="inlineStr">
        <is>
          <t>NUF 2.1</t>
        </is>
      </c>
      <c r="I4" s="4">
        <f>IF(LEFT(H4,3)="NUF",LEFT(H4,5),IF(LEFT(H4,2)="TF","TF",IF(LEFT(H4,2)="VF","VF","offen")))</f>
        <v/>
      </c>
      <c r="J4" s="4" t="inlineStr">
        <is>
          <t>CAFM-Nutzungsart</t>
        </is>
      </c>
      <c r="K4" s="4" t="inlineStr">
        <is>
          <t>nein</t>
        </is>
      </c>
      <c r="L4" s="4" t="inlineStr"/>
    </row>
    <row r="5">
      <c r="A5" s="4" t="inlineStr">
        <is>
          <t>CAFM TEN-001</t>
        </is>
      </c>
      <c r="B5" s="4" t="inlineStr">
        <is>
          <t>Testgebäude A (TEN-001)</t>
        </is>
      </c>
      <c r="C5" s="4" t="inlineStr">
        <is>
          <t>Testgeschoss 01 / 01</t>
        </is>
      </c>
      <c r="D5" s="4" t="inlineStr">
        <is>
          <t>027</t>
        </is>
      </c>
      <c r="E5" s="4" t="inlineStr">
        <is>
          <t>Büro</t>
        </is>
      </c>
      <c r="F5" s="4" t="inlineStr">
        <is>
          <t>Büro</t>
        </is>
      </c>
      <c r="G5" s="5" t="n">
        <v>18.79</v>
      </c>
      <c r="H5" s="19" t="inlineStr">
        <is>
          <t>NUF 2.1</t>
        </is>
      </c>
      <c r="I5" s="4">
        <f>IF(LEFT(H5,3)="NUF",LEFT(H5,5),IF(LEFT(H5,2)="TF","TF",IF(LEFT(H5,2)="VF","VF","offen")))</f>
        <v/>
      </c>
      <c r="J5" s="4" t="inlineStr">
        <is>
          <t>CAFM-Nutzungsart</t>
        </is>
      </c>
      <c r="K5" s="4" t="inlineStr">
        <is>
          <t>nein</t>
        </is>
      </c>
      <c r="L5" s="4" t="inlineStr"/>
    </row>
    <row r="6">
      <c r="A6" s="4" t="inlineStr">
        <is>
          <t>CAFM TEN-001</t>
        </is>
      </c>
      <c r="B6" s="4" t="inlineStr">
        <is>
          <t>Testgebäude A (TEN-001)</t>
        </is>
      </c>
      <c r="C6" s="4" t="inlineStr">
        <is>
          <t>Testgeschoss 01 / 01</t>
        </is>
      </c>
      <c r="D6" s="4" t="inlineStr">
        <is>
          <t>028</t>
        </is>
      </c>
      <c r="E6" s="4" t="inlineStr">
        <is>
          <t>Büro</t>
        </is>
      </c>
      <c r="F6" s="4" t="inlineStr">
        <is>
          <t>Büro</t>
        </is>
      </c>
      <c r="G6" s="5" t="n">
        <v>32.2</v>
      </c>
      <c r="H6" s="19" t="inlineStr">
        <is>
          <t>NUF 2.1</t>
        </is>
      </c>
      <c r="I6" s="4">
        <f>IF(LEFT(H6,3)="NUF",LEFT(H6,5),IF(LEFT(H6,2)="TF","TF",IF(LEFT(H6,2)="VF","VF","offen")))</f>
        <v/>
      </c>
      <c r="J6" s="4" t="inlineStr">
        <is>
          <t>CAFM-Nutzungsart</t>
        </is>
      </c>
      <c r="K6" s="4" t="inlineStr">
        <is>
          <t>nein</t>
        </is>
      </c>
      <c r="L6" s="4" t="inlineStr"/>
    </row>
    <row r="7">
      <c r="A7" s="4" t="inlineStr">
        <is>
          <t>CAFM TEN-001</t>
        </is>
      </c>
      <c r="B7" s="4" t="inlineStr">
        <is>
          <t>Testgebäude A (TEN-001)</t>
        </is>
      </c>
      <c r="C7" s="4" t="inlineStr">
        <is>
          <t>Testgeschoss 01 / 01</t>
        </is>
      </c>
      <c r="D7" s="4" t="inlineStr">
        <is>
          <t>029</t>
        </is>
      </c>
      <c r="E7" s="4" t="inlineStr">
        <is>
          <t>Büro</t>
        </is>
      </c>
      <c r="F7" s="4" t="inlineStr">
        <is>
          <t>Büro</t>
        </is>
      </c>
      <c r="G7" s="5" t="n">
        <v>18.79</v>
      </c>
      <c r="H7" s="19" t="inlineStr">
        <is>
          <t>NUF 2.1</t>
        </is>
      </c>
      <c r="I7" s="4">
        <f>IF(LEFT(H7,3)="NUF",LEFT(H7,5),IF(LEFT(H7,2)="TF","TF",IF(LEFT(H7,2)="VF","VF","offen")))</f>
        <v/>
      </c>
      <c r="J7" s="4" t="inlineStr">
        <is>
          <t>CAFM-Nutzungsart</t>
        </is>
      </c>
      <c r="K7" s="4" t="inlineStr">
        <is>
          <t>nein</t>
        </is>
      </c>
      <c r="L7" s="4" t="inlineStr"/>
    </row>
    <row r="8">
      <c r="A8" s="4" t="inlineStr">
        <is>
          <t>CAFM TEN-001</t>
        </is>
      </c>
      <c r="B8" s="4" t="inlineStr">
        <is>
          <t>Testgebäude A (TEN-001)</t>
        </is>
      </c>
      <c r="C8" s="4" t="inlineStr">
        <is>
          <t>Testgeschoss 01 / 01</t>
        </is>
      </c>
      <c r="D8" s="4" t="inlineStr">
        <is>
          <t>030</t>
        </is>
      </c>
      <c r="E8" s="4" t="inlineStr">
        <is>
          <t>Büro</t>
        </is>
      </c>
      <c r="F8" s="4" t="inlineStr">
        <is>
          <t>Büro</t>
        </is>
      </c>
      <c r="G8" s="5" t="n">
        <v>32.2</v>
      </c>
      <c r="H8" s="19" t="inlineStr">
        <is>
          <t>NUF 2.1</t>
        </is>
      </c>
      <c r="I8" s="4">
        <f>IF(LEFT(H8,3)="NUF",LEFT(H8,5),IF(LEFT(H8,2)="TF","TF",IF(LEFT(H8,2)="VF","VF","offen")))</f>
        <v/>
      </c>
      <c r="J8" s="4" t="inlineStr">
        <is>
          <t>CAFM-Nutzungsart</t>
        </is>
      </c>
      <c r="K8" s="4" t="inlineStr">
        <is>
          <t>nein</t>
        </is>
      </c>
      <c r="L8" s="4" t="inlineStr"/>
    </row>
    <row r="9">
      <c r="A9" s="4" t="inlineStr">
        <is>
          <t>CAFM TEN-001</t>
        </is>
      </c>
      <c r="B9" s="4" t="inlineStr">
        <is>
          <t>Testgebäude A (TEN-001)</t>
        </is>
      </c>
      <c r="C9" s="4" t="inlineStr">
        <is>
          <t>Testgeschoss 01 / 01</t>
        </is>
      </c>
      <c r="D9" s="4" t="inlineStr">
        <is>
          <t>031</t>
        </is>
      </c>
      <c r="E9" s="4" t="inlineStr">
        <is>
          <t>Büro</t>
        </is>
      </c>
      <c r="F9" s="4" t="inlineStr">
        <is>
          <t>Büro</t>
        </is>
      </c>
      <c r="G9" s="5" t="n">
        <v>18.79</v>
      </c>
      <c r="H9" s="19" t="inlineStr">
        <is>
          <t>NUF 2.1</t>
        </is>
      </c>
      <c r="I9" s="4">
        <f>IF(LEFT(H9,3)="NUF",LEFT(H9,5),IF(LEFT(H9,2)="TF","TF",IF(LEFT(H9,2)="VF","VF","offen")))</f>
        <v/>
      </c>
      <c r="J9" s="4" t="inlineStr">
        <is>
          <t>CAFM-Nutzungsart</t>
        </is>
      </c>
      <c r="K9" s="4" t="inlineStr">
        <is>
          <t>nein</t>
        </is>
      </c>
      <c r="L9" s="4" t="inlineStr"/>
    </row>
    <row r="10">
      <c r="A10" s="4" t="inlineStr">
        <is>
          <t>CAFM TEN-001</t>
        </is>
      </c>
      <c r="B10" s="4" t="inlineStr">
        <is>
          <t>Testgebäude A (TEN-001)</t>
        </is>
      </c>
      <c r="C10" s="4" t="inlineStr">
        <is>
          <t>Testgeschoss 01 / 01</t>
        </is>
      </c>
      <c r="D10" s="4" t="inlineStr">
        <is>
          <t>032</t>
        </is>
      </c>
      <c r="E10" s="4" t="inlineStr">
        <is>
          <t>Büro</t>
        </is>
      </c>
      <c r="F10" s="4" t="inlineStr">
        <is>
          <t>Büro</t>
        </is>
      </c>
      <c r="G10" s="5" t="n">
        <v>19</v>
      </c>
      <c r="H10" s="19" t="inlineStr">
        <is>
          <t>NUF 2.1</t>
        </is>
      </c>
      <c r="I10" s="4">
        <f>IF(LEFT(H10,3)="NUF",LEFT(H10,5),IF(LEFT(H10,2)="TF","TF",IF(LEFT(H10,2)="VF","VF","offen")))</f>
        <v/>
      </c>
      <c r="J10" s="4" t="inlineStr">
        <is>
          <t>CAFM-Nutzungsart</t>
        </is>
      </c>
      <c r="K10" s="4" t="inlineStr">
        <is>
          <t>nein</t>
        </is>
      </c>
      <c r="L10" s="4" t="inlineStr"/>
    </row>
    <row r="11">
      <c r="A11" s="4" t="inlineStr">
        <is>
          <t>CAFM TEN-001</t>
        </is>
      </c>
      <c r="B11" s="4" t="inlineStr">
        <is>
          <t>Testgebäude A (TEN-001)</t>
        </is>
      </c>
      <c r="C11" s="4" t="inlineStr">
        <is>
          <t>Testgeschoss 01 / 01</t>
        </is>
      </c>
      <c r="D11" s="4" t="inlineStr">
        <is>
          <t>024</t>
        </is>
      </c>
      <c r="E11" s="4" t="inlineStr">
        <is>
          <t>Büro</t>
        </is>
      </c>
      <c r="F11" s="4" t="inlineStr">
        <is>
          <t>Büro</t>
        </is>
      </c>
      <c r="G11" s="5" t="n">
        <v>18.82</v>
      </c>
      <c r="H11" s="19" t="inlineStr">
        <is>
          <t>NUF 2.1</t>
        </is>
      </c>
      <c r="I11" s="4">
        <f>IF(LEFT(H11,3)="NUF",LEFT(H11,5),IF(LEFT(H11,2)="TF","TF",IF(LEFT(H11,2)="VF","VF","offen")))</f>
        <v/>
      </c>
      <c r="J11" s="4" t="inlineStr">
        <is>
          <t>CAFM-Nutzungsart</t>
        </is>
      </c>
      <c r="K11" s="4" t="inlineStr">
        <is>
          <t>nein</t>
        </is>
      </c>
      <c r="L11" s="4" t="inlineStr"/>
    </row>
    <row r="12">
      <c r="A12" s="4" t="inlineStr">
        <is>
          <t>CAFM TEN-001</t>
        </is>
      </c>
      <c r="B12" s="4" t="inlineStr">
        <is>
          <t>Testgebäude A (TEN-001)</t>
        </is>
      </c>
      <c r="C12" s="4" t="inlineStr">
        <is>
          <t>Testgeschoss 01 / 01</t>
        </is>
      </c>
      <c r="D12" s="4" t="inlineStr">
        <is>
          <t>023</t>
        </is>
      </c>
      <c r="E12" s="4" t="inlineStr">
        <is>
          <t>Büro</t>
        </is>
      </c>
      <c r="F12" s="4" t="inlineStr">
        <is>
          <t>Büro</t>
        </is>
      </c>
      <c r="G12" s="5" t="n">
        <v>18.96</v>
      </c>
      <c r="H12" s="19" t="inlineStr">
        <is>
          <t>NUF 2.1</t>
        </is>
      </c>
      <c r="I12" s="4">
        <f>IF(LEFT(H12,3)="NUF",LEFT(H12,5),IF(LEFT(H12,2)="TF","TF",IF(LEFT(H12,2)="VF","VF","offen")))</f>
        <v/>
      </c>
      <c r="J12" s="4" t="inlineStr">
        <is>
          <t>CAFM-Nutzungsart</t>
        </is>
      </c>
      <c r="K12" s="4" t="inlineStr">
        <is>
          <t>nein</t>
        </is>
      </c>
      <c r="L12" s="4" t="inlineStr"/>
    </row>
    <row r="13">
      <c r="A13" s="4" t="inlineStr">
        <is>
          <t>CAFM TEN-001</t>
        </is>
      </c>
      <c r="B13" s="4" t="inlineStr">
        <is>
          <t>Testgebäude A (TEN-001)</t>
        </is>
      </c>
      <c r="C13" s="4" t="inlineStr">
        <is>
          <t>Testgeschoss 01 / 01</t>
        </is>
      </c>
      <c r="D13" s="4" t="inlineStr">
        <is>
          <t>022b</t>
        </is>
      </c>
      <c r="E13" s="4" t="inlineStr">
        <is>
          <t>Büro</t>
        </is>
      </c>
      <c r="F13" s="4" t="inlineStr">
        <is>
          <t>Büro</t>
        </is>
      </c>
      <c r="G13" s="5" t="n">
        <v>18.92</v>
      </c>
      <c r="H13" s="19" t="inlineStr">
        <is>
          <t>NUF 2.1</t>
        </is>
      </c>
      <c r="I13" s="4">
        <f>IF(LEFT(H13,3)="NUF",LEFT(H13,5),IF(LEFT(H13,2)="TF","TF",IF(LEFT(H13,2)="VF","VF","offen")))</f>
        <v/>
      </c>
      <c r="J13" s="4" t="inlineStr">
        <is>
          <t>CAFM-Nutzungsart</t>
        </is>
      </c>
      <c r="K13" s="4" t="inlineStr">
        <is>
          <t>nein</t>
        </is>
      </c>
      <c r="L13" s="4" t="inlineStr"/>
    </row>
    <row r="14">
      <c r="A14" s="4" t="inlineStr">
        <is>
          <t>CAFM TEN-001</t>
        </is>
      </c>
      <c r="B14" s="4" t="inlineStr">
        <is>
          <t>Testgebäude A (TEN-001)</t>
        </is>
      </c>
      <c r="C14" s="4" t="inlineStr">
        <is>
          <t>Testgeschoss 01 / 01</t>
        </is>
      </c>
      <c r="D14" s="4" t="inlineStr">
        <is>
          <t>022a</t>
        </is>
      </c>
      <c r="E14" s="4" t="inlineStr">
        <is>
          <t>Büro</t>
        </is>
      </c>
      <c r="F14" s="4" t="inlineStr">
        <is>
          <t>Büro</t>
        </is>
      </c>
      <c r="G14" s="5" t="n">
        <v>18.92</v>
      </c>
      <c r="H14" s="19" t="inlineStr">
        <is>
          <t>NUF 2.1</t>
        </is>
      </c>
      <c r="I14" s="4">
        <f>IF(LEFT(H14,3)="NUF",LEFT(H14,5),IF(LEFT(H14,2)="TF","TF",IF(LEFT(H14,2)="VF","VF","offen")))</f>
        <v/>
      </c>
      <c r="J14" s="4" t="inlineStr">
        <is>
          <t>CAFM-Nutzungsart</t>
        </is>
      </c>
      <c r="K14" s="4" t="inlineStr">
        <is>
          <t>nein</t>
        </is>
      </c>
      <c r="L14" s="4" t="inlineStr"/>
    </row>
    <row r="15">
      <c r="A15" s="4" t="inlineStr">
        <is>
          <t>CAFM TEN-001</t>
        </is>
      </c>
      <c r="B15" s="4" t="inlineStr">
        <is>
          <t>Testgebäude A (TEN-001)</t>
        </is>
      </c>
      <c r="C15" s="4" t="inlineStr">
        <is>
          <t>Testgeschoss 01 / 01</t>
        </is>
      </c>
      <c r="D15" s="4" t="inlineStr">
        <is>
          <t>021</t>
        </is>
      </c>
      <c r="E15" s="4" t="inlineStr">
        <is>
          <t>Büro</t>
        </is>
      </c>
      <c r="F15" s="4" t="inlineStr">
        <is>
          <t>Büro</t>
        </is>
      </c>
      <c r="G15" s="5" t="n">
        <v>19.23</v>
      </c>
      <c r="H15" s="19" t="inlineStr">
        <is>
          <t>NUF 2.1</t>
        </is>
      </c>
      <c r="I15" s="4">
        <f>IF(LEFT(H15,3)="NUF",LEFT(H15,5),IF(LEFT(H15,2)="TF","TF",IF(LEFT(H15,2)="VF","VF","offen")))</f>
        <v/>
      </c>
      <c r="J15" s="4" t="inlineStr">
        <is>
          <t>CAFM-Nutzungsart</t>
        </is>
      </c>
      <c r="K15" s="4" t="inlineStr">
        <is>
          <t>nein</t>
        </is>
      </c>
      <c r="L15" s="4" t="inlineStr"/>
    </row>
    <row r="16">
      <c r="A16" s="4" t="inlineStr">
        <is>
          <t>CAFM TEN-001</t>
        </is>
      </c>
      <c r="B16" s="4" t="inlineStr">
        <is>
          <t>Testgebäude A (TEN-001)</t>
        </is>
      </c>
      <c r="C16" s="4" t="inlineStr">
        <is>
          <t>Testgeschoss 01 / 01</t>
        </is>
      </c>
      <c r="D16" s="4" t="inlineStr">
        <is>
          <t>020</t>
        </is>
      </c>
      <c r="E16" s="4" t="inlineStr">
        <is>
          <t>Büro</t>
        </is>
      </c>
      <c r="F16" s="4" t="inlineStr">
        <is>
          <t>Büro</t>
        </is>
      </c>
      <c r="G16" s="5" t="n">
        <v>28.33</v>
      </c>
      <c r="H16" s="19" t="inlineStr">
        <is>
          <t>NUF 2.1</t>
        </is>
      </c>
      <c r="I16" s="4">
        <f>IF(LEFT(H16,3)="NUF",LEFT(H16,5),IF(LEFT(H16,2)="TF","TF",IF(LEFT(H16,2)="VF","VF","offen")))</f>
        <v/>
      </c>
      <c r="J16" s="4" t="inlineStr">
        <is>
          <t>CAFM-Nutzungsart</t>
        </is>
      </c>
      <c r="K16" s="4" t="inlineStr">
        <is>
          <t>nein</t>
        </is>
      </c>
      <c r="L16" s="4" t="inlineStr"/>
    </row>
    <row r="17">
      <c r="A17" s="4" t="inlineStr">
        <is>
          <t>CAFM TEN-001</t>
        </is>
      </c>
      <c r="B17" s="4" t="inlineStr">
        <is>
          <t>Testgebäude A (TEN-001)</t>
        </is>
      </c>
      <c r="C17" s="4" t="inlineStr">
        <is>
          <t>Testgeschoss 01 / 01</t>
        </is>
      </c>
      <c r="D17" s="4" t="inlineStr">
        <is>
          <t>045</t>
        </is>
      </c>
      <c r="E17" s="4" t="inlineStr">
        <is>
          <t>Büro</t>
        </is>
      </c>
      <c r="F17" s="4" t="inlineStr">
        <is>
          <t>Büro</t>
        </is>
      </c>
      <c r="G17" s="5" t="n">
        <v>38.73</v>
      </c>
      <c r="H17" s="19" t="inlineStr">
        <is>
          <t>NUF 2.1</t>
        </is>
      </c>
      <c r="I17" s="4">
        <f>IF(LEFT(H17,3)="NUF",LEFT(H17,5),IF(LEFT(H17,2)="TF","TF",IF(LEFT(H17,2)="VF","VF","offen")))</f>
        <v/>
      </c>
      <c r="J17" s="4" t="inlineStr">
        <is>
          <t>CAFM-Nutzungsart</t>
        </is>
      </c>
      <c r="K17" s="4" t="inlineStr">
        <is>
          <t>nein</t>
        </is>
      </c>
      <c r="L17" s="4" t="inlineStr"/>
    </row>
    <row r="18">
      <c r="A18" s="4" t="inlineStr">
        <is>
          <t>CAFM TEN-001</t>
        </is>
      </c>
      <c r="B18" s="4" t="inlineStr">
        <is>
          <t>Testgebäude A (TEN-001)</t>
        </is>
      </c>
      <c r="C18" s="4" t="inlineStr">
        <is>
          <t>Testgeschoss 01 / 01</t>
        </is>
      </c>
      <c r="D18" s="4" t="inlineStr">
        <is>
          <t>044b</t>
        </is>
      </c>
      <c r="E18" s="4" t="inlineStr">
        <is>
          <t>Büro</t>
        </is>
      </c>
      <c r="F18" s="4" t="inlineStr">
        <is>
          <t>Büro</t>
        </is>
      </c>
      <c r="G18" s="5" t="n">
        <v>18.7</v>
      </c>
      <c r="H18" s="19" t="inlineStr">
        <is>
          <t>NUF 2.1</t>
        </is>
      </c>
      <c r="I18" s="4">
        <f>IF(LEFT(H18,3)="NUF",LEFT(H18,5),IF(LEFT(H18,2)="TF","TF",IF(LEFT(H18,2)="VF","VF","offen")))</f>
        <v/>
      </c>
      <c r="J18" s="4" t="inlineStr">
        <is>
          <t>CAFM-Nutzungsart</t>
        </is>
      </c>
      <c r="K18" s="4" t="inlineStr">
        <is>
          <t>nein</t>
        </is>
      </c>
      <c r="L18" s="4" t="inlineStr"/>
    </row>
    <row r="19">
      <c r="A19" s="4" t="inlineStr">
        <is>
          <t>CAFM TEN-001</t>
        </is>
      </c>
      <c r="B19" s="4" t="inlineStr">
        <is>
          <t>Testgebäude A (TEN-001)</t>
        </is>
      </c>
      <c r="C19" s="4" t="inlineStr">
        <is>
          <t>Testgeschoss 01 / 01</t>
        </is>
      </c>
      <c r="D19" s="4" t="inlineStr">
        <is>
          <t>044a</t>
        </is>
      </c>
      <c r="E19" s="4" t="inlineStr">
        <is>
          <t>Büro</t>
        </is>
      </c>
      <c r="F19" s="4" t="inlineStr">
        <is>
          <t>Büro</t>
        </is>
      </c>
      <c r="G19" s="5" t="n">
        <v>19.63</v>
      </c>
      <c r="H19" s="19" t="inlineStr">
        <is>
          <t>NUF 2.1</t>
        </is>
      </c>
      <c r="I19" s="4">
        <f>IF(LEFT(H19,3)="NUF",LEFT(H19,5),IF(LEFT(H19,2)="TF","TF",IF(LEFT(H19,2)="VF","VF","offen")))</f>
        <v/>
      </c>
      <c r="J19" s="4" t="inlineStr">
        <is>
          <t>CAFM-Nutzungsart</t>
        </is>
      </c>
      <c r="K19" s="4" t="inlineStr">
        <is>
          <t>nein</t>
        </is>
      </c>
      <c r="L19" s="4" t="inlineStr"/>
    </row>
    <row r="20">
      <c r="A20" s="4" t="inlineStr">
        <is>
          <t>CAFM TEN-001</t>
        </is>
      </c>
      <c r="B20" s="4" t="inlineStr">
        <is>
          <t>Testgebäude A (TEN-001)</t>
        </is>
      </c>
      <c r="C20" s="4" t="inlineStr">
        <is>
          <t>Testgeschoss 01 / 01</t>
        </is>
      </c>
      <c r="D20" s="4" t="inlineStr">
        <is>
          <t>037</t>
        </is>
      </c>
      <c r="E20" s="4" t="inlineStr">
        <is>
          <t>Besprechung</t>
        </is>
      </c>
      <c r="F20" s="4" t="inlineStr">
        <is>
          <t>Besprechung</t>
        </is>
      </c>
      <c r="G20" s="5" t="n">
        <v>28.74</v>
      </c>
      <c r="H20" s="19" t="inlineStr">
        <is>
          <t>NUF 2.3</t>
        </is>
      </c>
      <c r="I20" s="4">
        <f>IF(LEFT(H20,3)="NUF",LEFT(H20,5),IF(LEFT(H20,2)="TF","TF",IF(LEFT(H20,2)="VF","VF","offen")))</f>
        <v/>
      </c>
      <c r="J20" s="4" t="inlineStr">
        <is>
          <t>CAFM-Nutzungsart</t>
        </is>
      </c>
      <c r="K20" s="4" t="inlineStr">
        <is>
          <t>nein</t>
        </is>
      </c>
      <c r="L20" s="4" t="inlineStr"/>
    </row>
    <row r="21">
      <c r="A21" s="4" t="inlineStr">
        <is>
          <t>CAFM TEN-001</t>
        </is>
      </c>
      <c r="B21" s="4" t="inlineStr">
        <is>
          <t>Testgebäude A (TEN-001)</t>
        </is>
      </c>
      <c r="C21" s="4" t="inlineStr">
        <is>
          <t>Testgeschoss 01 / 01</t>
        </is>
      </c>
      <c r="D21" s="4" t="inlineStr">
        <is>
          <t>036</t>
        </is>
      </c>
      <c r="E21" s="4" t="inlineStr">
        <is>
          <t>Büro</t>
        </is>
      </c>
      <c r="F21" s="4" t="inlineStr">
        <is>
          <t>Büro</t>
        </is>
      </c>
      <c r="G21" s="5" t="n">
        <v>48.05</v>
      </c>
      <c r="H21" s="19" t="inlineStr">
        <is>
          <t>NUF 2.1</t>
        </is>
      </c>
      <c r="I21" s="4">
        <f>IF(LEFT(H21,3)="NUF",LEFT(H21,5),IF(LEFT(H21,2)="TF","TF",IF(LEFT(H21,2)="VF","VF","offen")))</f>
        <v/>
      </c>
      <c r="J21" s="4" t="inlineStr">
        <is>
          <t>CAFM-Nutzungsart</t>
        </is>
      </c>
      <c r="K21" s="4" t="inlineStr">
        <is>
          <t>nein</t>
        </is>
      </c>
      <c r="L21" s="4" t="inlineStr"/>
    </row>
    <row r="22">
      <c r="A22" s="4" t="inlineStr">
        <is>
          <t>CAFM TEN-001</t>
        </is>
      </c>
      <c r="B22" s="4" t="inlineStr">
        <is>
          <t>Testgebäude A (TEN-001)</t>
        </is>
      </c>
      <c r="C22" s="4" t="inlineStr">
        <is>
          <t>Testgeschoss 01 / 01</t>
        </is>
      </c>
      <c r="D22" s="4" t="inlineStr">
        <is>
          <t>035</t>
        </is>
      </c>
      <c r="E22" s="4" t="inlineStr">
        <is>
          <t>Büro</t>
        </is>
      </c>
      <c r="F22" s="4" t="inlineStr">
        <is>
          <t>Büro</t>
        </is>
      </c>
      <c r="G22" s="5" t="n">
        <v>18.19</v>
      </c>
      <c r="H22" s="19" t="inlineStr">
        <is>
          <t>NUF 2.1</t>
        </is>
      </c>
      <c r="I22" s="4">
        <f>IF(LEFT(H22,3)="NUF",LEFT(H22,5),IF(LEFT(H22,2)="TF","TF",IF(LEFT(H22,2)="VF","VF","offen")))</f>
        <v/>
      </c>
      <c r="J22" s="4" t="inlineStr">
        <is>
          <t>CAFM-Nutzungsart</t>
        </is>
      </c>
      <c r="K22" s="4" t="inlineStr">
        <is>
          <t>nein</t>
        </is>
      </c>
      <c r="L22" s="4" t="inlineStr"/>
    </row>
    <row r="23">
      <c r="A23" s="4" t="inlineStr">
        <is>
          <t>CAFM TEN-001</t>
        </is>
      </c>
      <c r="B23" s="4" t="inlineStr">
        <is>
          <t>Testgebäude A (TEN-001)</t>
        </is>
      </c>
      <c r="C23" s="4" t="inlineStr">
        <is>
          <t>Testgeschoss 01 / 01</t>
        </is>
      </c>
      <c r="D23" s="4" t="inlineStr">
        <is>
          <t>038</t>
        </is>
      </c>
      <c r="E23" s="4" t="inlineStr">
        <is>
          <t>Büro</t>
        </is>
      </c>
      <c r="F23" s="4" t="inlineStr">
        <is>
          <t>Büro</t>
        </is>
      </c>
      <c r="G23" s="5" t="n">
        <v>34.4</v>
      </c>
      <c r="H23" s="19" t="inlineStr">
        <is>
          <t>NUF 2.1</t>
        </is>
      </c>
      <c r="I23" s="4">
        <f>IF(LEFT(H23,3)="NUF",LEFT(H23,5),IF(LEFT(H23,2)="TF","TF",IF(LEFT(H23,2)="VF","VF","offen")))</f>
        <v/>
      </c>
      <c r="J23" s="4" t="inlineStr">
        <is>
          <t>CAFM-Nutzungsart</t>
        </is>
      </c>
      <c r="K23" s="4" t="inlineStr">
        <is>
          <t>nein</t>
        </is>
      </c>
      <c r="L23" s="4" t="inlineStr"/>
    </row>
    <row r="24">
      <c r="A24" s="4" t="inlineStr">
        <is>
          <t>CAFM TEN-001</t>
        </is>
      </c>
      <c r="B24" s="4" t="inlineStr">
        <is>
          <t>Testgebäude A (TEN-001)</t>
        </is>
      </c>
      <c r="C24" s="4" t="inlineStr">
        <is>
          <t>Testgeschoss 01 / 01</t>
        </is>
      </c>
      <c r="D24" s="4" t="inlineStr">
        <is>
          <t>039</t>
        </is>
      </c>
      <c r="E24" s="4" t="inlineStr">
        <is>
          <t>Büro</t>
        </is>
      </c>
      <c r="F24" s="4" t="inlineStr">
        <is>
          <t>Büro</t>
        </is>
      </c>
      <c r="G24" s="5" t="n">
        <v>18.97</v>
      </c>
      <c r="H24" s="19" t="inlineStr">
        <is>
          <t>NUF 2.1</t>
        </is>
      </c>
      <c r="I24" s="4">
        <f>IF(LEFT(H24,3)="NUF",LEFT(H24,5),IF(LEFT(H24,2)="TF","TF",IF(LEFT(H24,2)="VF","VF","offen")))</f>
        <v/>
      </c>
      <c r="J24" s="4" t="inlineStr">
        <is>
          <t>CAFM-Nutzungsart</t>
        </is>
      </c>
      <c r="K24" s="4" t="inlineStr">
        <is>
          <t>nein</t>
        </is>
      </c>
      <c r="L24" s="4" t="inlineStr"/>
    </row>
    <row r="25">
      <c r="A25" s="4" t="inlineStr">
        <is>
          <t>CAFM TEN-001</t>
        </is>
      </c>
      <c r="B25" s="4" t="inlineStr">
        <is>
          <t>Testgebäude A (TEN-001)</t>
        </is>
      </c>
      <c r="C25" s="4" t="inlineStr">
        <is>
          <t>Testgeschoss 01 / 01</t>
        </is>
      </c>
      <c r="D25" s="4" t="inlineStr">
        <is>
          <t>040</t>
        </is>
      </c>
      <c r="E25" s="4" t="inlineStr">
        <is>
          <t>Büro</t>
        </is>
      </c>
      <c r="F25" s="4" t="inlineStr">
        <is>
          <t>Büro</t>
        </is>
      </c>
      <c r="G25" s="5" t="n">
        <v>18.97</v>
      </c>
      <c r="H25" s="19" t="inlineStr">
        <is>
          <t>NUF 2.1</t>
        </is>
      </c>
      <c r="I25" s="4">
        <f>IF(LEFT(H25,3)="NUF",LEFT(H25,5),IF(LEFT(H25,2)="TF","TF",IF(LEFT(H25,2)="VF","VF","offen")))</f>
        <v/>
      </c>
      <c r="J25" s="4" t="inlineStr">
        <is>
          <t>CAFM-Nutzungsart</t>
        </is>
      </c>
      <c r="K25" s="4" t="inlineStr">
        <is>
          <t>nein</t>
        </is>
      </c>
      <c r="L25" s="4" t="inlineStr"/>
    </row>
    <row r="26">
      <c r="A26" s="4" t="inlineStr">
        <is>
          <t>CAFM TEN-001</t>
        </is>
      </c>
      <c r="B26" s="4" t="inlineStr">
        <is>
          <t>Testgebäude A (TEN-001)</t>
        </is>
      </c>
      <c r="C26" s="4" t="inlineStr">
        <is>
          <t>Testgeschoss 01 / 01</t>
        </is>
      </c>
      <c r="D26" s="4" t="inlineStr">
        <is>
          <t>041</t>
        </is>
      </c>
      <c r="E26" s="4" t="inlineStr">
        <is>
          <t>Büro</t>
        </is>
      </c>
      <c r="F26" s="4" t="inlineStr">
        <is>
          <t>Büro</t>
        </is>
      </c>
      <c r="G26" s="5" t="n">
        <v>18.98</v>
      </c>
      <c r="H26" s="19" t="inlineStr">
        <is>
          <t>NUF 2.1</t>
        </is>
      </c>
      <c r="I26" s="4">
        <f>IF(LEFT(H26,3)="NUF",LEFT(H26,5),IF(LEFT(H26,2)="TF","TF",IF(LEFT(H26,2)="VF","VF","offen")))</f>
        <v/>
      </c>
      <c r="J26" s="4" t="inlineStr">
        <is>
          <t>CAFM-Nutzungsart</t>
        </is>
      </c>
      <c r="K26" s="4" t="inlineStr">
        <is>
          <t>nein</t>
        </is>
      </c>
      <c r="L26" s="4" t="inlineStr"/>
    </row>
    <row r="27">
      <c r="A27" s="4" t="inlineStr">
        <is>
          <t>CAFM TEN-001</t>
        </is>
      </c>
      <c r="B27" s="4" t="inlineStr">
        <is>
          <t>Testgebäude A (TEN-001)</t>
        </is>
      </c>
      <c r="C27" s="4" t="inlineStr">
        <is>
          <t>Testgeschoss 01 / 01</t>
        </is>
      </c>
      <c r="D27" s="4" t="inlineStr">
        <is>
          <t>042</t>
        </is>
      </c>
      <c r="E27" s="4" t="inlineStr">
        <is>
          <t>Büro</t>
        </is>
      </c>
      <c r="F27" s="4" t="inlineStr">
        <is>
          <t>Büro</t>
        </is>
      </c>
      <c r="G27" s="5" t="n">
        <v>18.88</v>
      </c>
      <c r="H27" s="19" t="inlineStr">
        <is>
          <t>NUF 2.1</t>
        </is>
      </c>
      <c r="I27" s="4">
        <f>IF(LEFT(H27,3)="NUF",LEFT(H27,5),IF(LEFT(H27,2)="TF","TF",IF(LEFT(H27,2)="VF","VF","offen")))</f>
        <v/>
      </c>
      <c r="J27" s="4" t="inlineStr">
        <is>
          <t>CAFM-Nutzungsart</t>
        </is>
      </c>
      <c r="K27" s="4" t="inlineStr">
        <is>
          <t>nein</t>
        </is>
      </c>
      <c r="L27" s="4" t="inlineStr"/>
    </row>
    <row r="28">
      <c r="A28" s="4" t="inlineStr">
        <is>
          <t>CAFM TEN-001</t>
        </is>
      </c>
      <c r="B28" s="4" t="inlineStr">
        <is>
          <t>Testgebäude A (TEN-001)</t>
        </is>
      </c>
      <c r="C28" s="4" t="inlineStr">
        <is>
          <t>Testgeschoss 01 / 01</t>
        </is>
      </c>
      <c r="D28" s="4" t="inlineStr">
        <is>
          <t>043</t>
        </is>
      </c>
      <c r="E28" s="4" t="inlineStr">
        <is>
          <t>Büro</t>
        </is>
      </c>
      <c r="F28" s="4" t="inlineStr">
        <is>
          <t>Büro</t>
        </is>
      </c>
      <c r="G28" s="5" t="n">
        <v>19.27</v>
      </c>
      <c r="H28" s="19" t="inlineStr">
        <is>
          <t>NUF 2.1</t>
        </is>
      </c>
      <c r="I28" s="4">
        <f>IF(LEFT(H28,3)="NUF",LEFT(H28,5),IF(LEFT(H28,2)="TF","TF",IF(LEFT(H28,2)="VF","VF","offen")))</f>
        <v/>
      </c>
      <c r="J28" s="4" t="inlineStr">
        <is>
          <t>CAFM-Nutzungsart</t>
        </is>
      </c>
      <c r="K28" s="4" t="inlineStr">
        <is>
          <t>nein</t>
        </is>
      </c>
      <c r="L28" s="4" t="inlineStr"/>
    </row>
    <row r="29">
      <c r="A29" s="4" t="inlineStr">
        <is>
          <t>CAFM TEN-002</t>
        </is>
      </c>
      <c r="B29" s="4" t="inlineStr">
        <is>
          <t>Testgebäude A (TEN-002)</t>
        </is>
      </c>
      <c r="C29" s="4" t="inlineStr">
        <is>
          <t>Testgeschoss 01 / 01</t>
        </is>
      </c>
      <c r="D29" s="4" t="inlineStr">
        <is>
          <t>101</t>
        </is>
      </c>
      <c r="E29" s="4" t="inlineStr">
        <is>
          <t>Testraum 101</t>
        </is>
      </c>
      <c r="F29" s="4" t="inlineStr">
        <is>
          <t>Büro</t>
        </is>
      </c>
      <c r="G29" s="5" t="n"/>
      <c r="H29" s="19" t="inlineStr">
        <is>
          <t>NUF 2.1</t>
        </is>
      </c>
      <c r="I29" s="4">
        <f>IF(LEFT(H29,3)="NUF",LEFT(H29,5),IF(LEFT(H29,2)="TF","TF",IF(LEFT(H29,2)="VF","VF","offen")))</f>
        <v/>
      </c>
      <c r="J29" s="4" t="inlineStr">
        <is>
          <t>CAFM-Nutzungsart</t>
        </is>
      </c>
      <c r="K29" s="20" t="inlineStr">
        <is>
          <t>ja</t>
        </is>
      </c>
      <c r="L29" s="4" t="inlineStr">
        <is>
          <t>Netto-Raumfläche fehlt</t>
        </is>
      </c>
    </row>
    <row r="30">
      <c r="A30" s="4" t="inlineStr">
        <is>
          <t>DWG-Import F3.2</t>
        </is>
      </c>
      <c r="B30" s="4" t="inlineStr">
        <is>
          <t>DE-SIE-11154 (EG-Zeichnung)</t>
        </is>
      </c>
      <c r="C30" s="4" t="inlineStr">
        <is>
          <t>EG</t>
        </is>
      </c>
      <c r="D30" s="4" t="inlineStr">
        <is>
          <t>32-15</t>
        </is>
      </c>
      <c r="E30" s="4" t="inlineStr"/>
      <c r="F30" s="4" t="inlineStr"/>
      <c r="G30" s="5" t="n">
        <v>3.54</v>
      </c>
      <c r="H30" s="19" t="inlineStr">
        <is>
          <t>offen</t>
        </is>
      </c>
      <c r="I30" s="4">
        <f>IF(LEFT(H30,3)="NUF",LEFT(H30,5),IF(LEFT(H30,2)="TF","TF",IF(LEFT(H30,2)="VF","VF","offen")))</f>
        <v/>
      </c>
      <c r="J30" s="4" t="inlineStr">
        <is>
          <t>keine Bezeichnung</t>
        </is>
      </c>
      <c r="K30" s="20" t="inlineStr">
        <is>
          <t>ja</t>
        </is>
      </c>
      <c r="L30" s="4" t="inlineStr"/>
    </row>
    <row r="31">
      <c r="A31" s="4" t="inlineStr">
        <is>
          <t>DWG-Import F3.2</t>
        </is>
      </c>
      <c r="B31" s="4" t="inlineStr">
        <is>
          <t>DE-SIE-11154 (EG-Zeichnung)</t>
        </is>
      </c>
      <c r="C31" s="4" t="inlineStr">
        <is>
          <t>EG</t>
        </is>
      </c>
      <c r="D31" s="4" t="inlineStr">
        <is>
          <t>32-13.1</t>
        </is>
      </c>
      <c r="E31" s="4" t="inlineStr"/>
      <c r="F31" s="4" t="inlineStr"/>
      <c r="G31" s="5" t="n">
        <v>7.27</v>
      </c>
      <c r="H31" s="19" t="inlineStr">
        <is>
          <t>offen</t>
        </is>
      </c>
      <c r="I31" s="4">
        <f>IF(LEFT(H31,3)="NUF",LEFT(H31,5),IF(LEFT(H31,2)="TF","TF",IF(LEFT(H31,2)="VF","VF","offen")))</f>
        <v/>
      </c>
      <c r="J31" s="4" t="inlineStr">
        <is>
          <t>keine Bezeichnung</t>
        </is>
      </c>
      <c r="K31" s="20" t="inlineStr">
        <is>
          <t>ja</t>
        </is>
      </c>
      <c r="L31" s="4" t="inlineStr"/>
    </row>
    <row r="32">
      <c r="A32" s="4" t="inlineStr">
        <is>
          <t>DWG-Import F3.2</t>
        </is>
      </c>
      <c r="B32" s="4" t="inlineStr">
        <is>
          <t>DE-SIE-11154 (EG-Zeichnung)</t>
        </is>
      </c>
      <c r="C32" s="4" t="inlineStr">
        <is>
          <t>EG</t>
        </is>
      </c>
      <c r="D32" s="4" t="inlineStr">
        <is>
          <t>32-14</t>
        </is>
      </c>
      <c r="E32" s="4" t="inlineStr">
        <is>
          <t>PZ.</t>
        </is>
      </c>
      <c r="F32" s="4" t="inlineStr"/>
      <c r="G32" s="5" t="n">
        <v>3.54</v>
      </c>
      <c r="H32" s="19" t="inlineStr">
        <is>
          <t>offen</t>
        </is>
      </c>
      <c r="I32" s="4">
        <f>IF(LEFT(H32,3)="NUF",LEFT(H32,5),IF(LEFT(H32,2)="TF","TF",IF(LEFT(H32,2)="VF","VF","offen")))</f>
        <v/>
      </c>
      <c r="J32" s="4" t="inlineStr">
        <is>
          <t>Bezeichnung nicht eindeutig</t>
        </is>
      </c>
      <c r="K32" s="20" t="inlineStr">
        <is>
          <t>ja</t>
        </is>
      </c>
      <c r="L32" s="4" t="inlineStr"/>
    </row>
    <row r="33">
      <c r="A33" s="4" t="inlineStr">
        <is>
          <t>DWG-Import F3.2</t>
        </is>
      </c>
      <c r="B33" s="4" t="inlineStr">
        <is>
          <t>DE-SIE-11154 (EG-Zeichnung)</t>
        </is>
      </c>
      <c r="C33" s="4" t="inlineStr">
        <is>
          <t>EG</t>
        </is>
      </c>
      <c r="D33" s="4" t="inlineStr">
        <is>
          <t>32-13</t>
        </is>
      </c>
      <c r="E33" s="4" t="inlineStr"/>
      <c r="F33" s="4" t="inlineStr"/>
      <c r="G33" s="5" t="n">
        <v>6.03</v>
      </c>
      <c r="H33" s="19" t="inlineStr">
        <is>
          <t>offen</t>
        </is>
      </c>
      <c r="I33" s="4">
        <f>IF(LEFT(H33,3)="NUF",LEFT(H33,5),IF(LEFT(H33,2)="TF","TF",IF(LEFT(H33,2)="VF","VF","offen")))</f>
        <v/>
      </c>
      <c r="J33" s="4" t="inlineStr">
        <is>
          <t>keine Bezeichnung</t>
        </is>
      </c>
      <c r="K33" s="20" t="inlineStr">
        <is>
          <t>ja</t>
        </is>
      </c>
      <c r="L33" s="4" t="inlineStr"/>
    </row>
    <row r="34">
      <c r="A34" s="4" t="inlineStr">
        <is>
          <t>DWG-Import F3.2</t>
        </is>
      </c>
      <c r="B34" s="4" t="inlineStr">
        <is>
          <t>DE-SIE-11154 (EG-Zeichnung)</t>
        </is>
      </c>
      <c r="C34" s="4" t="inlineStr">
        <is>
          <t>EG</t>
        </is>
      </c>
      <c r="D34" s="4" t="inlineStr">
        <is>
          <t>32-13.2</t>
        </is>
      </c>
      <c r="E34" s="4" t="inlineStr">
        <is>
          <t>Stiefel Waschen</t>
        </is>
      </c>
      <c r="F34" s="4" t="inlineStr"/>
      <c r="G34" s="5" t="n">
        <v>3.49</v>
      </c>
      <c r="H34" s="19" t="inlineStr">
        <is>
          <t>NUF 7.1</t>
        </is>
      </c>
      <c r="I34" s="4">
        <f>IF(LEFT(H34,3)="NUF",LEFT(H34,5),IF(LEFT(H34,2)="TF","TF",IF(LEFT(H34,2)="VF","VF","offen")))</f>
        <v/>
      </c>
      <c r="J34" s="4" t="inlineStr">
        <is>
          <t>Bezeichnung</t>
        </is>
      </c>
      <c r="K34" s="4" t="inlineStr">
        <is>
          <t>nein</t>
        </is>
      </c>
      <c r="L34" s="4" t="inlineStr"/>
    </row>
    <row r="35">
      <c r="A35" s="4" t="inlineStr">
        <is>
          <t>DWG-Import F3.2</t>
        </is>
      </c>
      <c r="B35" s="4" t="inlineStr">
        <is>
          <t>DE-SIE-11154 (EG-Zeichnung)</t>
        </is>
      </c>
      <c r="C35" s="4" t="inlineStr">
        <is>
          <t>EG</t>
        </is>
      </c>
      <c r="D35" s="4" t="inlineStr">
        <is>
          <t>32-7.1</t>
        </is>
      </c>
      <c r="E35" s="4" t="inlineStr"/>
      <c r="F35" s="4" t="inlineStr"/>
      <c r="G35" s="5" t="n">
        <v>7.33</v>
      </c>
      <c r="H35" s="19" t="inlineStr">
        <is>
          <t>offen</t>
        </is>
      </c>
      <c r="I35" s="4">
        <f>IF(LEFT(H35,3)="NUF",LEFT(H35,5),IF(LEFT(H35,2)="TF","TF",IF(LEFT(H35,2)="VF","VF","offen")))</f>
        <v/>
      </c>
      <c r="J35" s="4" t="inlineStr">
        <is>
          <t>keine Bezeichnung</t>
        </is>
      </c>
      <c r="K35" s="20" t="inlineStr">
        <is>
          <t>ja</t>
        </is>
      </c>
      <c r="L35" s="4" t="inlineStr"/>
    </row>
    <row r="36">
      <c r="A36" s="4" t="inlineStr">
        <is>
          <t>DWG-Import F3.2</t>
        </is>
      </c>
      <c r="B36" s="4" t="inlineStr">
        <is>
          <t>DE-SIE-11154 (EG-Zeichnung)</t>
        </is>
      </c>
      <c r="C36" s="4" t="inlineStr">
        <is>
          <t>EG</t>
        </is>
      </c>
      <c r="D36" s="4" t="inlineStr">
        <is>
          <t>32-11</t>
        </is>
      </c>
      <c r="E36" s="4" t="inlineStr">
        <is>
          <t>Waschen</t>
        </is>
      </c>
      <c r="F36" s="4" t="inlineStr"/>
      <c r="G36" s="5" t="n">
        <v>14.76</v>
      </c>
      <c r="H36" s="19" t="inlineStr">
        <is>
          <t>NUF 7.1</t>
        </is>
      </c>
      <c r="I36" s="4">
        <f>IF(LEFT(H36,3)="NUF",LEFT(H36,5),IF(LEFT(H36,2)="TF","TF",IF(LEFT(H36,2)="VF","VF","offen")))</f>
        <v/>
      </c>
      <c r="J36" s="4" t="inlineStr">
        <is>
          <t>Bezeichnung</t>
        </is>
      </c>
      <c r="K36" s="4" t="inlineStr">
        <is>
          <t>nein</t>
        </is>
      </c>
      <c r="L36" s="4" t="inlineStr"/>
    </row>
    <row r="37">
      <c r="A37" s="4" t="inlineStr">
        <is>
          <t>DWG-Import F3.2</t>
        </is>
      </c>
      <c r="B37" s="4" t="inlineStr">
        <is>
          <t>DE-SIE-11154 (EG-Zeichnung)</t>
        </is>
      </c>
      <c r="C37" s="4" t="inlineStr">
        <is>
          <t>EG</t>
        </is>
      </c>
      <c r="D37" s="4" t="inlineStr">
        <is>
          <t>32-10</t>
        </is>
      </c>
      <c r="E37" s="4" t="inlineStr">
        <is>
          <t>Dusche</t>
        </is>
      </c>
      <c r="F37" s="4" t="inlineStr"/>
      <c r="G37" s="5" t="n">
        <v>6.54</v>
      </c>
      <c r="H37" s="19" t="inlineStr">
        <is>
          <t>NUF 7.1</t>
        </is>
      </c>
      <c r="I37" s="4">
        <f>IF(LEFT(H37,3)="NUF",LEFT(H37,5),IF(LEFT(H37,2)="TF","TF",IF(LEFT(H37,2)="VF","VF","offen")))</f>
        <v/>
      </c>
      <c r="J37" s="4" t="inlineStr">
        <is>
          <t>Bezeichnung</t>
        </is>
      </c>
      <c r="K37" s="4" t="inlineStr">
        <is>
          <t>nein</t>
        </is>
      </c>
      <c r="L37" s="4" t="inlineStr"/>
    </row>
    <row r="38">
      <c r="A38" s="4" t="inlineStr">
        <is>
          <t>DWG-Import F3.2</t>
        </is>
      </c>
      <c r="B38" s="4" t="inlineStr">
        <is>
          <t>DE-SIE-11154 (EG-Zeichnung)</t>
        </is>
      </c>
      <c r="C38" s="4" t="inlineStr">
        <is>
          <t>EG</t>
        </is>
      </c>
      <c r="D38" s="4" t="inlineStr">
        <is>
          <t>32-12</t>
        </is>
      </c>
      <c r="E38" s="4" t="inlineStr"/>
      <c r="F38" s="4" t="inlineStr"/>
      <c r="G38" s="5" t="n">
        <v>21.68</v>
      </c>
      <c r="H38" s="19" t="inlineStr">
        <is>
          <t>offen</t>
        </is>
      </c>
      <c r="I38" s="4">
        <f>IF(LEFT(H38,3)="NUF",LEFT(H38,5),IF(LEFT(H38,2)="TF","TF",IF(LEFT(H38,2)="VF","VF","offen")))</f>
        <v/>
      </c>
      <c r="J38" s="4" t="inlineStr">
        <is>
          <t>keine Bezeichnung</t>
        </is>
      </c>
      <c r="K38" s="20" t="inlineStr">
        <is>
          <t>ja</t>
        </is>
      </c>
      <c r="L38" s="4" t="inlineStr"/>
    </row>
    <row r="39">
      <c r="A39" s="4" t="inlineStr">
        <is>
          <t>DWG-Import F3.2</t>
        </is>
      </c>
      <c r="B39" s="4" t="inlineStr">
        <is>
          <t>DE-SIE-11154 (EG-Zeichnung)</t>
        </is>
      </c>
      <c r="C39" s="4" t="inlineStr">
        <is>
          <t>EG</t>
        </is>
      </c>
      <c r="D39" s="4" t="inlineStr">
        <is>
          <t>23</t>
        </is>
      </c>
      <c r="E39" s="4" t="inlineStr"/>
      <c r="F39" s="4" t="inlineStr"/>
      <c r="G39" s="5" t="n">
        <v>19.38</v>
      </c>
      <c r="H39" s="19" t="inlineStr">
        <is>
          <t>offen</t>
        </is>
      </c>
      <c r="I39" s="4">
        <f>IF(LEFT(H39,3)="NUF",LEFT(H39,5),IF(LEFT(H39,2)="TF","TF",IF(LEFT(H39,2)="VF","VF","offen")))</f>
        <v/>
      </c>
      <c r="J39" s="4" t="inlineStr">
        <is>
          <t>keine Bezeichnung</t>
        </is>
      </c>
      <c r="K39" s="20" t="inlineStr">
        <is>
          <t>ja</t>
        </is>
      </c>
      <c r="L39" s="4" t="inlineStr"/>
    </row>
    <row r="40">
      <c r="A40" s="4" t="inlineStr">
        <is>
          <t>DWG-Import F3.2</t>
        </is>
      </c>
      <c r="B40" s="4" t="inlineStr">
        <is>
          <t>DE-SIE-11154 (EG-Zeichnung)</t>
        </is>
      </c>
      <c r="C40" s="4" t="inlineStr">
        <is>
          <t>EG</t>
        </is>
      </c>
      <c r="D40" s="4" t="inlineStr">
        <is>
          <t>22</t>
        </is>
      </c>
      <c r="E40" s="4" t="inlineStr"/>
      <c r="F40" s="4" t="inlineStr"/>
      <c r="G40" s="5" t="n">
        <v>18.61</v>
      </c>
      <c r="H40" s="19" t="inlineStr">
        <is>
          <t>offen</t>
        </is>
      </c>
      <c r="I40" s="4">
        <f>IF(LEFT(H40,3)="NUF",LEFT(H40,5),IF(LEFT(H40,2)="TF","TF",IF(LEFT(H40,2)="VF","VF","offen")))</f>
        <v/>
      </c>
      <c r="J40" s="4" t="inlineStr">
        <is>
          <t>keine Bezeichnung</t>
        </is>
      </c>
      <c r="K40" s="20" t="inlineStr">
        <is>
          <t>ja</t>
        </is>
      </c>
      <c r="L40" s="4" t="inlineStr"/>
    </row>
    <row r="41">
      <c r="A41" s="4" t="inlineStr">
        <is>
          <t>DWG-Import F3.2</t>
        </is>
      </c>
      <c r="B41" s="4" t="inlineStr">
        <is>
          <t>DE-SIE-11154 (EG-Zeichnung)</t>
        </is>
      </c>
      <c r="C41" s="4" t="inlineStr">
        <is>
          <t>EG</t>
        </is>
      </c>
      <c r="D41" s="4" t="inlineStr">
        <is>
          <t>25</t>
        </is>
      </c>
      <c r="E41" s="4" t="inlineStr">
        <is>
          <t>Aufenthaltsraum</t>
        </is>
      </c>
      <c r="F41" s="4" t="inlineStr"/>
      <c r="G41" s="5" t="n">
        <v>28.3</v>
      </c>
      <c r="H41" s="19" t="inlineStr">
        <is>
          <t>NUF 1.3</t>
        </is>
      </c>
      <c r="I41" s="4">
        <f>IF(LEFT(H41,3)="NUF",LEFT(H41,5),IF(LEFT(H41,2)="TF","TF",IF(LEFT(H41,2)="VF","VF","offen")))</f>
        <v/>
      </c>
      <c r="J41" s="4" t="inlineStr">
        <is>
          <t>Bezeichnung</t>
        </is>
      </c>
      <c r="K41" s="4" t="inlineStr">
        <is>
          <t>nein</t>
        </is>
      </c>
      <c r="L41" s="4" t="inlineStr"/>
    </row>
    <row r="42">
      <c r="A42" s="4" t="inlineStr">
        <is>
          <t>DWG-Import F3.2</t>
        </is>
      </c>
      <c r="B42" s="4" t="inlineStr">
        <is>
          <t>DE-SIE-11154 (EG-Zeichnung)</t>
        </is>
      </c>
      <c r="C42" s="4" t="inlineStr">
        <is>
          <t>EG</t>
        </is>
      </c>
      <c r="D42" s="4" t="inlineStr">
        <is>
          <t>27</t>
        </is>
      </c>
      <c r="E42" s="4" t="inlineStr"/>
      <c r="F42" s="4" t="inlineStr"/>
      <c r="G42" s="5" t="n">
        <v>28.56</v>
      </c>
      <c r="H42" s="19" t="inlineStr">
        <is>
          <t>offen</t>
        </is>
      </c>
      <c r="I42" s="4">
        <f>IF(LEFT(H42,3)="NUF",LEFT(H42,5),IF(LEFT(H42,2)="TF","TF",IF(LEFT(H42,2)="VF","VF","offen")))</f>
        <v/>
      </c>
      <c r="J42" s="4" t="inlineStr">
        <is>
          <t>keine Bezeichnung</t>
        </is>
      </c>
      <c r="K42" s="20" t="inlineStr">
        <is>
          <t>ja</t>
        </is>
      </c>
      <c r="L42" s="4" t="inlineStr"/>
    </row>
    <row r="43">
      <c r="A43" s="4" t="inlineStr">
        <is>
          <t>DWG-Import F3.2</t>
        </is>
      </c>
      <c r="B43" s="4" t="inlineStr">
        <is>
          <t>DE-SIE-11154 (EG-Zeichnung)</t>
        </is>
      </c>
      <c r="C43" s="4" t="inlineStr">
        <is>
          <t>EG</t>
        </is>
      </c>
      <c r="D43" s="4" t="inlineStr">
        <is>
          <t>20</t>
        </is>
      </c>
      <c r="E43" s="4" t="inlineStr"/>
      <c r="F43" s="4" t="inlineStr"/>
      <c r="G43" s="5" t="n">
        <v>18.87</v>
      </c>
      <c r="H43" s="19" t="inlineStr">
        <is>
          <t>offen</t>
        </is>
      </c>
      <c r="I43" s="4">
        <f>IF(LEFT(H43,3)="NUF",LEFT(H43,5),IF(LEFT(H43,2)="TF","TF",IF(LEFT(H43,2)="VF","VF","offen")))</f>
        <v/>
      </c>
      <c r="J43" s="4" t="inlineStr">
        <is>
          <t>keine Bezeichnung</t>
        </is>
      </c>
      <c r="K43" s="20" t="inlineStr">
        <is>
          <t>ja</t>
        </is>
      </c>
      <c r="L43" s="4" t="inlineStr"/>
    </row>
    <row r="44">
      <c r="A44" s="4" t="inlineStr">
        <is>
          <t>DWG-Import F3.2</t>
        </is>
      </c>
      <c r="B44" s="4" t="inlineStr">
        <is>
          <t>DE-SIE-11154 (EG-Zeichnung)</t>
        </is>
      </c>
      <c r="C44" s="4" t="inlineStr">
        <is>
          <t>EG</t>
        </is>
      </c>
      <c r="D44" s="4" t="inlineStr">
        <is>
          <t>21</t>
        </is>
      </c>
      <c r="E44" s="4" t="inlineStr"/>
      <c r="F44" s="4" t="inlineStr"/>
      <c r="G44" s="5" t="n">
        <v>28.3</v>
      </c>
      <c r="H44" s="19" t="inlineStr">
        <is>
          <t>offen</t>
        </is>
      </c>
      <c r="I44" s="4">
        <f>IF(LEFT(H44,3)="NUF",LEFT(H44,5),IF(LEFT(H44,2)="TF","TF",IF(LEFT(H44,2)="VF","VF","offen")))</f>
        <v/>
      </c>
      <c r="J44" s="4" t="inlineStr">
        <is>
          <t>keine Bezeichnung</t>
        </is>
      </c>
      <c r="K44" s="20" t="inlineStr">
        <is>
          <t>ja</t>
        </is>
      </c>
      <c r="L44" s="4" t="inlineStr"/>
    </row>
    <row r="45">
      <c r="A45" s="4" t="inlineStr">
        <is>
          <t>DWG-Import F3.2</t>
        </is>
      </c>
      <c r="B45" s="4" t="inlineStr">
        <is>
          <t>DE-SIE-11154 (EG-Zeichnung)</t>
        </is>
      </c>
      <c r="C45" s="4" t="inlineStr">
        <is>
          <t>EG</t>
        </is>
      </c>
      <c r="D45" s="4" t="inlineStr">
        <is>
          <t>19</t>
        </is>
      </c>
      <c r="E45" s="4" t="inlineStr"/>
      <c r="F45" s="4" t="inlineStr"/>
      <c r="G45" s="5" t="n">
        <v>20.14</v>
      </c>
      <c r="H45" s="19" t="inlineStr">
        <is>
          <t>offen</t>
        </is>
      </c>
      <c r="I45" s="4">
        <f>IF(LEFT(H45,3)="NUF",LEFT(H45,5),IF(LEFT(H45,2)="TF","TF",IF(LEFT(H45,2)="VF","VF","offen")))</f>
        <v/>
      </c>
      <c r="J45" s="4" t="inlineStr">
        <is>
          <t>keine Bezeichnung</t>
        </is>
      </c>
      <c r="K45" s="20" t="inlineStr">
        <is>
          <t>ja</t>
        </is>
      </c>
      <c r="L45" s="4" t="inlineStr"/>
    </row>
    <row r="46">
      <c r="A46" s="4" t="inlineStr">
        <is>
          <t>DWG-Import F3.2</t>
        </is>
      </c>
      <c r="B46" s="4" t="inlineStr">
        <is>
          <t>DE-SIE-11154 (EG-Zeichnung)</t>
        </is>
      </c>
      <c r="C46" s="4" t="inlineStr">
        <is>
          <t>EG</t>
        </is>
      </c>
      <c r="D46" s="4" t="inlineStr">
        <is>
          <t>24</t>
        </is>
      </c>
      <c r="E46" s="4" t="inlineStr"/>
      <c r="F46" s="4" t="inlineStr"/>
      <c r="G46" s="5" t="n">
        <v>46.39</v>
      </c>
      <c r="H46" s="19" t="inlineStr">
        <is>
          <t>offen</t>
        </is>
      </c>
      <c r="I46" s="4">
        <f>IF(LEFT(H46,3)="NUF",LEFT(H46,5),IF(LEFT(H46,2)="TF","TF",IF(LEFT(H46,2)="VF","VF","offen")))</f>
        <v/>
      </c>
      <c r="J46" s="4" t="inlineStr">
        <is>
          <t>keine Bezeichnung</t>
        </is>
      </c>
      <c r="K46" s="20" t="inlineStr">
        <is>
          <t>ja</t>
        </is>
      </c>
      <c r="L46" s="4" t="inlineStr"/>
    </row>
    <row r="47">
      <c r="A47" s="4" t="inlineStr">
        <is>
          <t>DWG-Import F3.2</t>
        </is>
      </c>
      <c r="B47" s="4" t="inlineStr">
        <is>
          <t>DE-SIE-11154 (EG-Zeichnung)</t>
        </is>
      </c>
      <c r="C47" s="4" t="inlineStr">
        <is>
          <t>EG</t>
        </is>
      </c>
      <c r="D47" s="4" t="inlineStr">
        <is>
          <t>24.1</t>
        </is>
      </c>
      <c r="E47" s="4" t="inlineStr"/>
      <c r="F47" s="4" t="inlineStr"/>
      <c r="G47" s="5" t="n">
        <v>5.88</v>
      </c>
      <c r="H47" s="19" t="inlineStr">
        <is>
          <t>offen</t>
        </is>
      </c>
      <c r="I47" s="4">
        <f>IF(LEFT(H47,3)="NUF",LEFT(H47,5),IF(LEFT(H47,2)="TF","TF",IF(LEFT(H47,2)="VF","VF","offen")))</f>
        <v/>
      </c>
      <c r="J47" s="4" t="inlineStr">
        <is>
          <t>keine Bezeichnung</t>
        </is>
      </c>
      <c r="K47" s="20" t="inlineStr">
        <is>
          <t>ja</t>
        </is>
      </c>
      <c r="L47" s="4" t="inlineStr"/>
    </row>
    <row r="48">
      <c r="A48" s="4" t="inlineStr">
        <is>
          <t>DWG-Import F3.2</t>
        </is>
      </c>
      <c r="B48" s="4" t="inlineStr">
        <is>
          <t>DE-SIE-11154 (EG-Zeichnung)</t>
        </is>
      </c>
      <c r="C48" s="4" t="inlineStr">
        <is>
          <t>EG</t>
        </is>
      </c>
      <c r="D48" s="4" t="inlineStr">
        <is>
          <t>32-1</t>
        </is>
      </c>
      <c r="E48" s="4" t="inlineStr">
        <is>
          <t>Anlieferung</t>
        </is>
      </c>
      <c r="F48" s="4" t="inlineStr"/>
      <c r="G48" s="5" t="n">
        <v>29.93</v>
      </c>
      <c r="H48" s="19" t="inlineStr">
        <is>
          <t>NUF 4.4</t>
        </is>
      </c>
      <c r="I48" s="4">
        <f>IF(LEFT(H48,3)="NUF",LEFT(H48,5),IF(LEFT(H48,2)="TF","TF",IF(LEFT(H48,2)="VF","VF","offen")))</f>
        <v/>
      </c>
      <c r="J48" s="4" t="inlineStr">
        <is>
          <t>Bezeichnung</t>
        </is>
      </c>
      <c r="K48" s="4" t="inlineStr">
        <is>
          <t>nein</t>
        </is>
      </c>
      <c r="L48" s="4" t="inlineStr"/>
    </row>
    <row r="49">
      <c r="A49" s="4" t="inlineStr">
        <is>
          <t>DWG-Import F3.2</t>
        </is>
      </c>
      <c r="B49" s="4" t="inlineStr">
        <is>
          <t>DE-SIE-11154 (EG-Zeichnung)</t>
        </is>
      </c>
      <c r="C49" s="4" t="inlineStr">
        <is>
          <t>EG</t>
        </is>
      </c>
      <c r="D49" s="4" t="inlineStr">
        <is>
          <t>32</t>
        </is>
      </c>
      <c r="E49" s="4" t="inlineStr">
        <is>
          <t>Funkwerkstatt</t>
        </is>
      </c>
      <c r="F49" s="4" t="inlineStr"/>
      <c r="G49" s="5" t="n">
        <v>28.05</v>
      </c>
      <c r="H49" s="19" t="inlineStr">
        <is>
          <t>NUF 3.2</t>
        </is>
      </c>
      <c r="I49" s="4">
        <f>IF(LEFT(H49,3)="NUF",LEFT(H49,5),IF(LEFT(H49,2)="TF","TF",IF(LEFT(H49,2)="VF","VF","offen")))</f>
        <v/>
      </c>
      <c r="J49" s="4" t="inlineStr">
        <is>
          <t>Bezeichnung</t>
        </is>
      </c>
      <c r="K49" s="4" t="inlineStr">
        <is>
          <t>nein</t>
        </is>
      </c>
      <c r="L49" s="4" t="inlineStr"/>
    </row>
    <row r="50">
      <c r="A50" s="4" t="inlineStr">
        <is>
          <t>DWG-Import F3.2</t>
        </is>
      </c>
      <c r="B50" s="4" t="inlineStr">
        <is>
          <t>DE-SIE-11154 (EG-Zeichnung)</t>
        </is>
      </c>
      <c r="C50" s="4" t="inlineStr">
        <is>
          <t>EG</t>
        </is>
      </c>
      <c r="D50" s="4" t="inlineStr">
        <is>
          <t>28</t>
        </is>
      </c>
      <c r="E50" s="4" t="inlineStr"/>
      <c r="F50" s="4" t="inlineStr"/>
      <c r="G50" s="5" t="n">
        <v>18.87</v>
      </c>
      <c r="H50" s="19" t="inlineStr">
        <is>
          <t>offen</t>
        </is>
      </c>
      <c r="I50" s="4">
        <f>IF(LEFT(H50,3)="NUF",LEFT(H50,5),IF(LEFT(H50,2)="TF","TF",IF(LEFT(H50,2)="VF","VF","offen")))</f>
        <v/>
      </c>
      <c r="J50" s="4" t="inlineStr">
        <is>
          <t>keine Bezeichnung</t>
        </is>
      </c>
      <c r="K50" s="20" t="inlineStr">
        <is>
          <t>ja</t>
        </is>
      </c>
      <c r="L50" s="4" t="inlineStr"/>
    </row>
    <row r="51">
      <c r="A51" s="4" t="inlineStr">
        <is>
          <t>DWG-Import F3.2</t>
        </is>
      </c>
      <c r="B51" s="4" t="inlineStr">
        <is>
          <t>DE-SIE-11154 (EG-Zeichnung)</t>
        </is>
      </c>
      <c r="C51" s="4" t="inlineStr">
        <is>
          <t>EG</t>
        </is>
      </c>
      <c r="D51" s="4" t="inlineStr">
        <is>
          <t>29</t>
        </is>
      </c>
      <c r="E51" s="4" t="inlineStr"/>
      <c r="F51" s="4" t="inlineStr"/>
      <c r="G51" s="5" t="n">
        <v>18.61</v>
      </c>
      <c r="H51" s="19" t="inlineStr">
        <is>
          <t>offen</t>
        </is>
      </c>
      <c r="I51" s="4">
        <f>IF(LEFT(H51,3)="NUF",LEFT(H51,5),IF(LEFT(H51,2)="TF","TF",IF(LEFT(H51,2)="VF","VF","offen")))</f>
        <v/>
      </c>
      <c r="J51" s="4" t="inlineStr">
        <is>
          <t>keine Bezeichnung</t>
        </is>
      </c>
      <c r="K51" s="20" t="inlineStr">
        <is>
          <t>ja</t>
        </is>
      </c>
      <c r="L51" s="4" t="inlineStr"/>
    </row>
    <row r="52">
      <c r="A52" s="4" t="inlineStr">
        <is>
          <t>DWG-Import F3.2</t>
        </is>
      </c>
      <c r="B52" s="4" t="inlineStr">
        <is>
          <t>DE-SIE-11154 (EG-Zeichnung)</t>
        </is>
      </c>
      <c r="C52" s="4" t="inlineStr">
        <is>
          <t>EG</t>
        </is>
      </c>
      <c r="D52" s="4" t="inlineStr">
        <is>
          <t>30</t>
        </is>
      </c>
      <c r="E52" s="4" t="inlineStr"/>
      <c r="F52" s="4" t="inlineStr"/>
      <c r="G52" s="5" t="n">
        <v>18.61</v>
      </c>
      <c r="H52" s="19" t="inlineStr">
        <is>
          <t>offen</t>
        </is>
      </c>
      <c r="I52" s="4">
        <f>IF(LEFT(H52,3)="NUF",LEFT(H52,5),IF(LEFT(H52,2)="TF","TF",IF(LEFT(H52,2)="VF","VF","offen")))</f>
        <v/>
      </c>
      <c r="J52" s="4" t="inlineStr">
        <is>
          <t>keine Bezeichnung</t>
        </is>
      </c>
      <c r="K52" s="20" t="inlineStr">
        <is>
          <t>ja</t>
        </is>
      </c>
      <c r="L52" s="4" t="inlineStr"/>
    </row>
    <row r="53">
      <c r="A53" s="4" t="inlineStr">
        <is>
          <t>DWG-Import F3.2</t>
        </is>
      </c>
      <c r="B53" s="4" t="inlineStr">
        <is>
          <t>DE-SIE-11154 (EG-Zeichnung)</t>
        </is>
      </c>
      <c r="C53" s="4" t="inlineStr">
        <is>
          <t>EG</t>
        </is>
      </c>
      <c r="D53" s="4" t="inlineStr">
        <is>
          <t>31</t>
        </is>
      </c>
      <c r="E53" s="4" t="inlineStr"/>
      <c r="F53" s="4" t="inlineStr"/>
      <c r="G53" s="5" t="n">
        <v>18.87</v>
      </c>
      <c r="H53" s="19" t="inlineStr">
        <is>
          <t>offen</t>
        </is>
      </c>
      <c r="I53" s="4">
        <f>IF(LEFT(H53,3)="NUF",LEFT(H53,5),IF(LEFT(H53,2)="TF","TF",IF(LEFT(H53,2)="VF","VF","offen")))</f>
        <v/>
      </c>
      <c r="J53" s="4" t="inlineStr">
        <is>
          <t>keine Bezeichnung</t>
        </is>
      </c>
      <c r="K53" s="20" t="inlineStr">
        <is>
          <t>ja</t>
        </is>
      </c>
      <c r="L53" s="4" t="inlineStr"/>
    </row>
    <row r="54">
      <c r="A54" s="4" t="inlineStr">
        <is>
          <t>DWG-Import F3.2</t>
        </is>
      </c>
      <c r="B54" s="4" t="inlineStr">
        <is>
          <t>DE-SIE-11154 (EG-Zeichnung)</t>
        </is>
      </c>
      <c r="C54" s="4" t="inlineStr">
        <is>
          <t>EG</t>
        </is>
      </c>
      <c r="D54" s="4" t="inlineStr">
        <is>
          <t>33</t>
        </is>
      </c>
      <c r="E54" s="4" t="inlineStr"/>
      <c r="F54" s="4" t="inlineStr"/>
      <c r="G54" s="5" t="n">
        <v>18.56</v>
      </c>
      <c r="H54" s="19" t="inlineStr">
        <is>
          <t>offen</t>
        </is>
      </c>
      <c r="I54" s="4">
        <f>IF(LEFT(H54,3)="NUF",LEFT(H54,5),IF(LEFT(H54,2)="TF","TF",IF(LEFT(H54,2)="VF","VF","offen")))</f>
        <v/>
      </c>
      <c r="J54" s="4" t="inlineStr">
        <is>
          <t>keine Bezeichnung</t>
        </is>
      </c>
      <c r="K54" s="20" t="inlineStr">
        <is>
          <t>ja</t>
        </is>
      </c>
      <c r="L54" s="4" t="inlineStr"/>
    </row>
    <row r="55">
      <c r="A55" s="4" t="inlineStr">
        <is>
          <t>DWG-Import F3.2</t>
        </is>
      </c>
      <c r="B55" s="4" t="inlineStr">
        <is>
          <t>DE-SIE-11154 (EG-Zeichnung)</t>
        </is>
      </c>
      <c r="C55" s="4" t="inlineStr">
        <is>
          <t>EG</t>
        </is>
      </c>
      <c r="D55" s="4" t="inlineStr">
        <is>
          <t>18-1</t>
        </is>
      </c>
      <c r="E55" s="4" t="inlineStr"/>
      <c r="F55" s="4" t="inlineStr"/>
      <c r="G55" s="5" t="n">
        <v>7.2</v>
      </c>
      <c r="H55" s="19" t="inlineStr">
        <is>
          <t>offen</t>
        </is>
      </c>
      <c r="I55" s="4">
        <f>IF(LEFT(H55,3)="NUF",LEFT(H55,5),IF(LEFT(H55,2)="TF","TF",IF(LEFT(H55,2)="VF","VF","offen")))</f>
        <v/>
      </c>
      <c r="J55" s="4" t="inlineStr">
        <is>
          <t>keine Bezeichnung</t>
        </is>
      </c>
      <c r="K55" s="20" t="inlineStr">
        <is>
          <t>ja</t>
        </is>
      </c>
      <c r="L55" s="4" t="inlineStr"/>
    </row>
    <row r="56">
      <c r="A56" s="4" t="inlineStr">
        <is>
          <t>DWG-Import F3.2</t>
        </is>
      </c>
      <c r="B56" s="4" t="inlineStr">
        <is>
          <t>DE-SIE-11154 (EG-Zeichnung)</t>
        </is>
      </c>
      <c r="C56" s="4" t="inlineStr">
        <is>
          <t>EG</t>
        </is>
      </c>
      <c r="D56" s="4" t="inlineStr">
        <is>
          <t>32-4</t>
        </is>
      </c>
      <c r="E56" s="4" t="inlineStr"/>
      <c r="F56" s="4" t="inlineStr"/>
      <c r="G56" s="5" t="n">
        <v>9.99</v>
      </c>
      <c r="H56" s="19" t="inlineStr">
        <is>
          <t>offen</t>
        </is>
      </c>
      <c r="I56" s="4">
        <f>IF(LEFT(H56,3)="NUF",LEFT(H56,5),IF(LEFT(H56,2)="TF","TF",IF(LEFT(H56,2)="VF","VF","offen")))</f>
        <v/>
      </c>
      <c r="J56" s="4" t="inlineStr">
        <is>
          <t>keine Bezeichnung</t>
        </is>
      </c>
      <c r="K56" s="20" t="inlineStr">
        <is>
          <t>ja</t>
        </is>
      </c>
      <c r="L56" s="4" t="inlineStr"/>
    </row>
    <row r="57">
      <c r="A57" s="4" t="inlineStr">
        <is>
          <t>DWG-Import F3.2</t>
        </is>
      </c>
      <c r="B57" s="4" t="inlineStr">
        <is>
          <t>DE-SIE-11154 (EG-Zeichnung)</t>
        </is>
      </c>
      <c r="C57" s="4" t="inlineStr">
        <is>
          <t>EG</t>
        </is>
      </c>
      <c r="D57" s="4" t="inlineStr">
        <is>
          <t>18-2</t>
        </is>
      </c>
      <c r="E57" s="4" t="inlineStr"/>
      <c r="F57" s="4" t="inlineStr"/>
      <c r="G57" s="5" t="n">
        <v>18.9</v>
      </c>
      <c r="H57" s="19" t="inlineStr">
        <is>
          <t>offen</t>
        </is>
      </c>
      <c r="I57" s="4">
        <f>IF(LEFT(H57,3)="NUF",LEFT(H57,5),IF(LEFT(H57,2)="TF","TF",IF(LEFT(H57,2)="VF","VF","offen")))</f>
        <v/>
      </c>
      <c r="J57" s="4" t="inlineStr">
        <is>
          <t>keine Bezeichnung</t>
        </is>
      </c>
      <c r="K57" s="20" t="inlineStr">
        <is>
          <t>ja</t>
        </is>
      </c>
      <c r="L57" s="4" t="inlineStr"/>
    </row>
    <row r="58">
      <c r="A58" s="4" t="inlineStr">
        <is>
          <t>DWG-Import F3.2</t>
        </is>
      </c>
      <c r="B58" s="4" t="inlineStr">
        <is>
          <t>DE-SIE-11154 (EG-Zeichnung)</t>
        </is>
      </c>
      <c r="C58" s="4" t="inlineStr">
        <is>
          <t>EG</t>
        </is>
      </c>
      <c r="D58" s="4" t="inlineStr">
        <is>
          <t>32-8</t>
        </is>
      </c>
      <c r="E58" s="4" t="inlineStr"/>
      <c r="F58" s="4" t="inlineStr"/>
      <c r="G58" s="5" t="n">
        <v>28.71</v>
      </c>
      <c r="H58" s="19" t="inlineStr">
        <is>
          <t>offen</t>
        </is>
      </c>
      <c r="I58" s="4">
        <f>IF(LEFT(H58,3)="NUF",LEFT(H58,5),IF(LEFT(H58,2)="TF","TF",IF(LEFT(H58,2)="VF","VF","offen")))</f>
        <v/>
      </c>
      <c r="J58" s="4" t="inlineStr">
        <is>
          <t>keine Bezeichnung</t>
        </is>
      </c>
      <c r="K58" s="20" t="inlineStr">
        <is>
          <t>ja</t>
        </is>
      </c>
      <c r="L58" s="4" t="inlineStr"/>
    </row>
    <row r="59">
      <c r="A59" s="4" t="inlineStr">
        <is>
          <t>DWG-Import F3.2</t>
        </is>
      </c>
      <c r="B59" s="4" t="inlineStr">
        <is>
          <t>DE-SIE-11154 (EG-Zeichnung)</t>
        </is>
      </c>
      <c r="C59" s="4" t="inlineStr">
        <is>
          <t>EG</t>
        </is>
      </c>
      <c r="D59" s="4" t="inlineStr">
        <is>
          <t>32-9</t>
        </is>
      </c>
      <c r="E59" s="4" t="inlineStr"/>
      <c r="F59" s="4" t="inlineStr"/>
      <c r="G59" s="5" t="n">
        <v>11.34</v>
      </c>
      <c r="H59" s="19" t="inlineStr">
        <is>
          <t>offen</t>
        </is>
      </c>
      <c r="I59" s="4">
        <f>IF(LEFT(H59,3)="NUF",LEFT(H59,5),IF(LEFT(H59,2)="TF","TF",IF(LEFT(H59,2)="VF","VF","offen")))</f>
        <v/>
      </c>
      <c r="J59" s="4" t="inlineStr">
        <is>
          <t>keine Bezeichnung</t>
        </is>
      </c>
      <c r="K59" s="20" t="inlineStr">
        <is>
          <t>ja</t>
        </is>
      </c>
      <c r="L59" s="4" t="inlineStr"/>
    </row>
    <row r="60">
      <c r="A60" s="4" t="inlineStr">
        <is>
          <t>DWG-Import F3.2</t>
        </is>
      </c>
      <c r="B60" s="4" t="inlineStr">
        <is>
          <t>DE-SIE-11154 (EG-Zeichnung)</t>
        </is>
      </c>
      <c r="C60" s="4" t="inlineStr">
        <is>
          <t>EG</t>
        </is>
      </c>
      <c r="D60" s="4" t="inlineStr">
        <is>
          <t>32-2</t>
        </is>
      </c>
      <c r="E60" s="4" t="inlineStr"/>
      <c r="F60" s="4" t="inlineStr"/>
      <c r="G60" s="5" t="n">
        <v>30.19</v>
      </c>
      <c r="H60" s="19" t="inlineStr">
        <is>
          <t>offen</t>
        </is>
      </c>
      <c r="I60" s="4">
        <f>IF(LEFT(H60,3)="NUF",LEFT(H60,5),IF(LEFT(H60,2)="TF","TF",IF(LEFT(H60,2)="VF","VF","offen")))</f>
        <v/>
      </c>
      <c r="J60" s="4" t="inlineStr">
        <is>
          <t>keine Bezeichnung</t>
        </is>
      </c>
      <c r="K60" s="20" t="inlineStr">
        <is>
          <t>ja</t>
        </is>
      </c>
      <c r="L60" s="4" t="inlineStr"/>
    </row>
    <row r="61">
      <c r="A61" s="4" t="inlineStr">
        <is>
          <t>DWG-Import F3.2</t>
        </is>
      </c>
      <c r="B61" s="4" t="inlineStr">
        <is>
          <t>DE-SIE-11154 (EG-Zeichnung)</t>
        </is>
      </c>
      <c r="C61" s="4" t="inlineStr">
        <is>
          <t>EG</t>
        </is>
      </c>
      <c r="D61" s="4" t="inlineStr">
        <is>
          <t>32-3</t>
        </is>
      </c>
      <c r="E61" s="4" t="inlineStr"/>
      <c r="F61" s="4" t="inlineStr"/>
      <c r="G61" s="5" t="n">
        <v>9.630000000000001</v>
      </c>
      <c r="H61" s="19" t="inlineStr">
        <is>
          <t>offen</t>
        </is>
      </c>
      <c r="I61" s="4">
        <f>IF(LEFT(H61,3)="NUF",LEFT(H61,5),IF(LEFT(H61,2)="TF","TF",IF(LEFT(H61,2)="VF","VF","offen")))</f>
        <v/>
      </c>
      <c r="J61" s="4" t="inlineStr">
        <is>
          <t>keine Bezeichnung</t>
        </is>
      </c>
      <c r="K61" s="20" t="inlineStr">
        <is>
          <t>ja</t>
        </is>
      </c>
      <c r="L61" s="4" t="inlineStr"/>
    </row>
    <row r="62">
      <c r="A62" s="4" t="inlineStr">
        <is>
          <t>DWG-Import F3.2</t>
        </is>
      </c>
      <c r="B62" s="4" t="inlineStr">
        <is>
          <t>DE-SIE-11154 (EG-Zeichnung)</t>
        </is>
      </c>
      <c r="C62" s="4" t="inlineStr">
        <is>
          <t>EG</t>
        </is>
      </c>
      <c r="D62" s="4" t="inlineStr">
        <is>
          <t>32-6</t>
        </is>
      </c>
      <c r="E62" s="4" t="inlineStr"/>
      <c r="F62" s="4" t="inlineStr"/>
      <c r="G62" s="5" t="n">
        <v>26.54</v>
      </c>
      <c r="H62" s="19" t="inlineStr">
        <is>
          <t>offen</t>
        </is>
      </c>
      <c r="I62" s="4">
        <f>IF(LEFT(H62,3)="NUF",LEFT(H62,5),IF(LEFT(H62,2)="TF","TF",IF(LEFT(H62,2)="VF","VF","offen")))</f>
        <v/>
      </c>
      <c r="J62" s="4" t="inlineStr">
        <is>
          <t>keine Bezeichnung</t>
        </is>
      </c>
      <c r="K62" s="20" t="inlineStr">
        <is>
          <t>ja</t>
        </is>
      </c>
      <c r="L62" s="4" t="inlineStr"/>
    </row>
    <row r="63">
      <c r="A63" s="4" t="inlineStr">
        <is>
          <t>DWG-Import F3.2</t>
        </is>
      </c>
      <c r="B63" s="4" t="inlineStr">
        <is>
          <t>DE-SIE-11154 (EG-Zeichnung)</t>
        </is>
      </c>
      <c r="C63" s="4" t="inlineStr">
        <is>
          <t>EG</t>
        </is>
      </c>
      <c r="D63" s="4" t="inlineStr">
        <is>
          <t>32-7</t>
        </is>
      </c>
      <c r="E63" s="4" t="inlineStr"/>
      <c r="F63" s="4" t="inlineStr"/>
      <c r="G63" s="5" t="n">
        <v>11.68</v>
      </c>
      <c r="H63" s="19" t="inlineStr">
        <is>
          <t>offen</t>
        </is>
      </c>
      <c r="I63" s="4">
        <f>IF(LEFT(H63,3)="NUF",LEFT(H63,5),IF(LEFT(H63,2)="TF","TF",IF(LEFT(H63,2)="VF","VF","offen")))</f>
        <v/>
      </c>
      <c r="J63" s="4" t="inlineStr">
        <is>
          <t>keine Bezeichnung</t>
        </is>
      </c>
      <c r="K63" s="20" t="inlineStr">
        <is>
          <t>ja</t>
        </is>
      </c>
      <c r="L63" s="4" t="inlineStr"/>
    </row>
    <row r="64">
      <c r="A64" s="4" t="inlineStr">
        <is>
          <t>DWG-Import F3.2</t>
        </is>
      </c>
      <c r="B64" s="4" t="inlineStr">
        <is>
          <t>DE-SIE-11154 (EG-Zeichnung)</t>
        </is>
      </c>
      <c r="C64" s="4" t="inlineStr">
        <is>
          <t>EG</t>
        </is>
      </c>
      <c r="D64" s="4" t="inlineStr">
        <is>
          <t>34-1.1</t>
        </is>
      </c>
      <c r="E64" s="4" t="inlineStr"/>
      <c r="F64" s="4" t="inlineStr"/>
      <c r="G64" s="5" t="n">
        <v>9.109999999999999</v>
      </c>
      <c r="H64" s="19" t="inlineStr">
        <is>
          <t>offen</t>
        </is>
      </c>
      <c r="I64" s="4">
        <f>IF(LEFT(H64,3)="NUF",LEFT(H64,5),IF(LEFT(H64,2)="TF","TF",IF(LEFT(H64,2)="VF","VF","offen")))</f>
        <v/>
      </c>
      <c r="J64" s="4" t="inlineStr">
        <is>
          <t>keine Bezeichnung</t>
        </is>
      </c>
      <c r="K64" s="20" t="inlineStr">
        <is>
          <t>ja</t>
        </is>
      </c>
      <c r="L64" s="4" t="inlineStr"/>
    </row>
    <row r="65">
      <c r="A65" s="4" t="inlineStr">
        <is>
          <t>DWG-Import F3.2</t>
        </is>
      </c>
      <c r="B65" s="4" t="inlineStr">
        <is>
          <t>DE-SIE-11154 (EG-Zeichnung)</t>
        </is>
      </c>
      <c r="C65" s="4" t="inlineStr">
        <is>
          <t>EG</t>
        </is>
      </c>
      <c r="D65" s="4" t="inlineStr">
        <is>
          <t>34-2</t>
        </is>
      </c>
      <c r="E65" s="4" t="inlineStr"/>
      <c r="F65" s="4" t="inlineStr"/>
      <c r="G65" s="5" t="n">
        <v>15.59</v>
      </c>
      <c r="H65" s="19" t="inlineStr">
        <is>
          <t>offen</t>
        </is>
      </c>
      <c r="I65" s="4">
        <f>IF(LEFT(H65,3)="NUF",LEFT(H65,5),IF(LEFT(H65,2)="TF","TF",IF(LEFT(H65,2)="VF","VF","offen")))</f>
        <v/>
      </c>
      <c r="J65" s="4" t="inlineStr">
        <is>
          <t>keine Bezeichnung</t>
        </is>
      </c>
      <c r="K65" s="20" t="inlineStr">
        <is>
          <t>ja</t>
        </is>
      </c>
      <c r="L65" s="4" t="inlineStr"/>
    </row>
    <row r="66">
      <c r="A66" s="4" t="inlineStr">
        <is>
          <t>DWG-Import F3.2</t>
        </is>
      </c>
      <c r="B66" s="4" t="inlineStr">
        <is>
          <t>DE-SIE-11154 (EG-Zeichnung)</t>
        </is>
      </c>
      <c r="C66" s="4" t="inlineStr">
        <is>
          <t>EG</t>
        </is>
      </c>
      <c r="D66" s="4" t="inlineStr">
        <is>
          <t>34-1</t>
        </is>
      </c>
      <c r="E66" s="4" t="inlineStr"/>
      <c r="F66" s="4" t="inlineStr"/>
      <c r="G66" s="5" t="n">
        <v>14.13</v>
      </c>
      <c r="H66" s="19" t="inlineStr">
        <is>
          <t>offen</t>
        </is>
      </c>
      <c r="I66" s="4">
        <f>IF(LEFT(H66,3)="NUF",LEFT(H66,5),IF(LEFT(H66,2)="TF","TF",IF(LEFT(H66,2)="VF","VF","offen")))</f>
        <v/>
      </c>
      <c r="J66" s="4" t="inlineStr">
        <is>
          <t>keine Bezeichnung</t>
        </is>
      </c>
      <c r="K66" s="20" t="inlineStr">
        <is>
          <t>ja</t>
        </is>
      </c>
      <c r="L66" s="4" t="inlineStr"/>
    </row>
    <row r="67">
      <c r="A67" s="4" t="inlineStr">
        <is>
          <t>DWG-Import F3.2</t>
        </is>
      </c>
      <c r="B67" s="4" t="inlineStr">
        <is>
          <t>DE-SIE-11154 (EG-Zeichnung)</t>
        </is>
      </c>
      <c r="C67" s="4" t="inlineStr">
        <is>
          <t>EG</t>
        </is>
      </c>
      <c r="D67" s="4" t="inlineStr">
        <is>
          <t>34-2.1</t>
        </is>
      </c>
      <c r="E67" s="4" t="inlineStr"/>
      <c r="F67" s="4" t="inlineStr"/>
      <c r="G67" s="5" t="n">
        <v>10.88</v>
      </c>
      <c r="H67" s="19" t="inlineStr">
        <is>
          <t>offen</t>
        </is>
      </c>
      <c r="I67" s="4">
        <f>IF(LEFT(H67,3)="NUF",LEFT(H67,5),IF(LEFT(H67,2)="TF","TF",IF(LEFT(H67,2)="VF","VF","offen")))</f>
        <v/>
      </c>
      <c r="J67" s="4" t="inlineStr">
        <is>
          <t>keine Bezeichnung</t>
        </is>
      </c>
      <c r="K67" s="20" t="inlineStr">
        <is>
          <t>ja</t>
        </is>
      </c>
      <c r="L67" s="4" t="inlineStr"/>
    </row>
    <row r="68">
      <c r="A68" s="4" t="inlineStr">
        <is>
          <t>DWG-Import F3.2</t>
        </is>
      </c>
      <c r="B68" s="4" t="inlineStr">
        <is>
          <t>DE-SIE-11154 (EG-Zeichnung)</t>
        </is>
      </c>
      <c r="C68" s="4" t="inlineStr">
        <is>
          <t>EG</t>
        </is>
      </c>
      <c r="D68" s="4" t="inlineStr">
        <is>
          <t>34-3</t>
        </is>
      </c>
      <c r="E68" s="4" t="inlineStr"/>
      <c r="F68" s="4" t="inlineStr"/>
      <c r="G68" s="5" t="n">
        <v>29.16</v>
      </c>
      <c r="H68" s="19" t="inlineStr">
        <is>
          <t>offen</t>
        </is>
      </c>
      <c r="I68" s="4">
        <f>IF(LEFT(H68,3)="NUF",LEFT(H68,5),IF(LEFT(H68,2)="TF","TF",IF(LEFT(H68,2)="VF","VF","offen")))</f>
        <v/>
      </c>
      <c r="J68" s="4" t="inlineStr">
        <is>
          <t>keine Bezeichnung</t>
        </is>
      </c>
      <c r="K68" s="20" t="inlineStr">
        <is>
          <t>ja</t>
        </is>
      </c>
      <c r="L68" s="4" t="inlineStr"/>
    </row>
    <row r="69">
      <c r="A69" s="4" t="inlineStr">
        <is>
          <t>DWG-Import F3.2</t>
        </is>
      </c>
      <c r="B69" s="4" t="inlineStr">
        <is>
          <t>DE-SIE-11154 (EG-Zeichnung)</t>
        </is>
      </c>
      <c r="C69" s="4" t="inlineStr">
        <is>
          <t>EG</t>
        </is>
      </c>
      <c r="D69" s="4" t="inlineStr">
        <is>
          <t>34-4</t>
        </is>
      </c>
      <c r="E69" s="4" t="inlineStr"/>
      <c r="F69" s="4" t="inlineStr"/>
      <c r="G69" s="5" t="n">
        <v>34.47</v>
      </c>
      <c r="H69" s="19" t="inlineStr">
        <is>
          <t>offen</t>
        </is>
      </c>
      <c r="I69" s="4">
        <f>IF(LEFT(H69,3)="NUF",LEFT(H69,5),IF(LEFT(H69,2)="TF","TF",IF(LEFT(H69,2)="VF","VF","offen")))</f>
        <v/>
      </c>
      <c r="J69" s="4" t="inlineStr">
        <is>
          <t>keine Bezeichnung</t>
        </is>
      </c>
      <c r="K69" s="20" t="inlineStr">
        <is>
          <t>ja</t>
        </is>
      </c>
      <c r="L69" s="4" t="inlineStr"/>
    </row>
    <row r="70">
      <c r="A70" s="4" t="inlineStr">
        <is>
          <t>DWG-Import F3.2</t>
        </is>
      </c>
      <c r="B70" s="4" t="inlineStr">
        <is>
          <t>DE-SIE-11154 (EG-Zeichnung)</t>
        </is>
      </c>
      <c r="C70" s="4" t="inlineStr">
        <is>
          <t>EG</t>
        </is>
      </c>
      <c r="D70" s="4" t="inlineStr">
        <is>
          <t>14-1</t>
        </is>
      </c>
      <c r="E70" s="4" t="inlineStr"/>
      <c r="F70" s="4" t="inlineStr"/>
      <c r="G70" s="5" t="n">
        <v>48.37</v>
      </c>
      <c r="H70" s="19" t="inlineStr">
        <is>
          <t>offen</t>
        </is>
      </c>
      <c r="I70" s="4">
        <f>IF(LEFT(H70,3)="NUF",LEFT(H70,5),IF(LEFT(H70,2)="TF","TF",IF(LEFT(H70,2)="VF","VF","offen")))</f>
        <v/>
      </c>
      <c r="J70" s="4" t="inlineStr">
        <is>
          <t>keine Bezeichnung</t>
        </is>
      </c>
      <c r="K70" s="20" t="inlineStr">
        <is>
          <t>ja</t>
        </is>
      </c>
      <c r="L70" s="4" t="inlineStr"/>
    </row>
    <row r="71">
      <c r="A71" s="4" t="inlineStr">
        <is>
          <t>DWG-Import F3.2</t>
        </is>
      </c>
      <c r="B71" s="4" t="inlineStr">
        <is>
          <t>DE-SIE-11154 (EG-Zeichnung)</t>
        </is>
      </c>
      <c r="C71" s="4" t="inlineStr">
        <is>
          <t>EG</t>
        </is>
      </c>
      <c r="D71" s="4" t="inlineStr">
        <is>
          <t>15</t>
        </is>
      </c>
      <c r="E71" s="4" t="inlineStr"/>
      <c r="F71" s="4" t="inlineStr"/>
      <c r="G71" s="5" t="n">
        <v>28.56</v>
      </c>
      <c r="H71" s="19" t="inlineStr">
        <is>
          <t>offen</t>
        </is>
      </c>
      <c r="I71" s="4">
        <f>IF(LEFT(H71,3)="NUF",LEFT(H71,5),IF(LEFT(H71,2)="TF","TF",IF(LEFT(H71,2)="VF","VF","offen")))</f>
        <v/>
      </c>
      <c r="J71" s="4" t="inlineStr">
        <is>
          <t>keine Bezeichnung</t>
        </is>
      </c>
      <c r="K71" s="20" t="inlineStr">
        <is>
          <t>ja</t>
        </is>
      </c>
      <c r="L71" s="4" t="inlineStr"/>
    </row>
    <row r="72">
      <c r="A72" s="4" t="inlineStr">
        <is>
          <t>DWG-Import F3.2</t>
        </is>
      </c>
      <c r="B72" s="4" t="inlineStr">
        <is>
          <t>DE-SIE-11154 (EG-Zeichnung)</t>
        </is>
      </c>
      <c r="C72" s="4" t="inlineStr">
        <is>
          <t>EG</t>
        </is>
      </c>
      <c r="D72" s="4" t="inlineStr">
        <is>
          <t>14</t>
        </is>
      </c>
      <c r="E72" s="4" t="inlineStr">
        <is>
          <t>Lichtstudio</t>
        </is>
      </c>
      <c r="F72" s="4" t="inlineStr"/>
      <c r="G72" s="5" t="n">
        <v>28.56</v>
      </c>
      <c r="H72" s="19" t="inlineStr">
        <is>
          <t>NUF 4.6</t>
        </is>
      </c>
      <c r="I72" s="4">
        <f>IF(LEFT(H72,3)="NUF",LEFT(H72,5),IF(LEFT(H72,2)="TF","TF",IF(LEFT(H72,2)="VF","VF","offen")))</f>
        <v/>
      </c>
      <c r="J72" s="4" t="inlineStr">
        <is>
          <t>Bezeichnung</t>
        </is>
      </c>
      <c r="K72" s="20" t="inlineStr">
        <is>
          <t>ja</t>
        </is>
      </c>
      <c r="L72" s="4" t="inlineStr"/>
    </row>
    <row r="73">
      <c r="A73" s="4" t="inlineStr">
        <is>
          <t>DWG-Import F3.2</t>
        </is>
      </c>
      <c r="B73" s="4" t="inlineStr">
        <is>
          <t>DE-SIE-11154 (EG-Zeichnung)</t>
        </is>
      </c>
      <c r="C73" s="4" t="inlineStr">
        <is>
          <t>EG</t>
        </is>
      </c>
      <c r="D73" s="4" t="inlineStr">
        <is>
          <t>15.1</t>
        </is>
      </c>
      <c r="E73" s="4" t="inlineStr"/>
      <c r="F73" s="4" t="inlineStr"/>
      <c r="G73" s="5" t="n">
        <v>8.93</v>
      </c>
      <c r="H73" s="19" t="inlineStr">
        <is>
          <t>offen</t>
        </is>
      </c>
      <c r="I73" s="4">
        <f>IF(LEFT(H73,3)="NUF",LEFT(H73,5),IF(LEFT(H73,2)="TF","TF",IF(LEFT(H73,2)="VF","VF","offen")))</f>
        <v/>
      </c>
      <c r="J73" s="4" t="inlineStr">
        <is>
          <t>keine Bezeichnung</t>
        </is>
      </c>
      <c r="K73" s="20" t="inlineStr">
        <is>
          <t>ja</t>
        </is>
      </c>
      <c r="L73" s="4" t="inlineStr"/>
    </row>
    <row r="74">
      <c r="A74" s="4" t="inlineStr">
        <is>
          <t>DWG-Import F3.2</t>
        </is>
      </c>
      <c r="B74" s="4" t="inlineStr">
        <is>
          <t>DE-SIE-11154 (EG-Zeichnung)</t>
        </is>
      </c>
      <c r="C74" s="4" t="inlineStr">
        <is>
          <t>EG</t>
        </is>
      </c>
      <c r="D74" s="4" t="inlineStr">
        <is>
          <t>13.1</t>
        </is>
      </c>
      <c r="E74" s="4" t="inlineStr"/>
      <c r="F74" s="4" t="inlineStr"/>
      <c r="G74" s="5" t="n">
        <v>19.39</v>
      </c>
      <c r="H74" s="19" t="inlineStr">
        <is>
          <t>offen</t>
        </is>
      </c>
      <c r="I74" s="4">
        <f>IF(LEFT(H74,3)="NUF",LEFT(H74,5),IF(LEFT(H74,2)="TF","TF",IF(LEFT(H74,2)="VF","VF","offen")))</f>
        <v/>
      </c>
      <c r="J74" s="4" t="inlineStr">
        <is>
          <t>keine Bezeichnung</t>
        </is>
      </c>
      <c r="K74" s="20" t="inlineStr">
        <is>
          <t>ja</t>
        </is>
      </c>
      <c r="L74" s="4" t="inlineStr"/>
    </row>
    <row r="75">
      <c r="A75" s="4" t="inlineStr">
        <is>
          <t>DWG-Import F3.2</t>
        </is>
      </c>
      <c r="B75" s="4" t="inlineStr">
        <is>
          <t>DE-SIE-11154 (EG-Zeichnung)</t>
        </is>
      </c>
      <c r="C75" s="4" t="inlineStr">
        <is>
          <t>EG</t>
        </is>
      </c>
      <c r="D75" s="4" t="inlineStr">
        <is>
          <t>13</t>
        </is>
      </c>
      <c r="E75" s="4" t="inlineStr"/>
      <c r="F75" s="4" t="inlineStr"/>
      <c r="G75" s="5" t="n">
        <v>10.27</v>
      </c>
      <c r="H75" s="19" t="inlineStr">
        <is>
          <t>offen</t>
        </is>
      </c>
      <c r="I75" s="4">
        <f>IF(LEFT(H75,3)="NUF",LEFT(H75,5),IF(LEFT(H75,2)="TF","TF",IF(LEFT(H75,2)="VF","VF","offen")))</f>
        <v/>
      </c>
      <c r="J75" s="4" t="inlineStr">
        <is>
          <t>keine Bezeichnung</t>
        </is>
      </c>
      <c r="K75" s="20" t="inlineStr">
        <is>
          <t>ja</t>
        </is>
      </c>
      <c r="L75" s="4" t="inlineStr"/>
    </row>
    <row r="76">
      <c r="A76" s="4" t="inlineStr">
        <is>
          <t>DWG-Import F3.2</t>
        </is>
      </c>
      <c r="B76" s="4" t="inlineStr">
        <is>
          <t>DE-SIE-11154 (EG-Zeichnung)</t>
        </is>
      </c>
      <c r="C76" s="4" t="inlineStr">
        <is>
          <t>EG</t>
        </is>
      </c>
      <c r="D76" s="4" t="inlineStr">
        <is>
          <t>16/17/18</t>
        </is>
      </c>
      <c r="E76" s="4" t="inlineStr"/>
      <c r="F76" s="4" t="inlineStr"/>
      <c r="G76" s="5" t="n">
        <v>77.97</v>
      </c>
      <c r="H76" s="19" t="inlineStr">
        <is>
          <t>offen</t>
        </is>
      </c>
      <c r="I76" s="4">
        <f>IF(LEFT(H76,3)="NUF",LEFT(H76,5),IF(LEFT(H76,2)="TF","TF",IF(LEFT(H76,2)="VF","VF","offen")))</f>
        <v/>
      </c>
      <c r="J76" s="4" t="inlineStr">
        <is>
          <t>keine Bezeichnung</t>
        </is>
      </c>
      <c r="K76" s="20" t="inlineStr">
        <is>
          <t>ja</t>
        </is>
      </c>
      <c r="L76" s="4" t="inlineStr"/>
    </row>
    <row r="77">
      <c r="A77" s="4" t="inlineStr">
        <is>
          <t>DWG-Import F3.2</t>
        </is>
      </c>
      <c r="B77" s="4" t="inlineStr">
        <is>
          <t>DE-SIE-11154 (EG-Zeichnung)</t>
        </is>
      </c>
      <c r="C77" s="4" t="inlineStr">
        <is>
          <t>EG</t>
        </is>
      </c>
      <c r="D77" s="4" t="inlineStr">
        <is>
          <t>36</t>
        </is>
      </c>
      <c r="E77" s="4" t="inlineStr">
        <is>
          <t>Büro (Lager)</t>
        </is>
      </c>
      <c r="F77" s="4" t="inlineStr"/>
      <c r="G77" s="5" t="n">
        <v>38.25</v>
      </c>
      <c r="H77" s="19" t="inlineStr">
        <is>
          <t>NUF 4.1</t>
        </is>
      </c>
      <c r="I77" s="4">
        <f>IF(LEFT(H77,3)="NUF",LEFT(H77,5),IF(LEFT(H77,2)="TF","TF",IF(LEFT(H77,2)="VF","VF","offen")))</f>
        <v/>
      </c>
      <c r="J77" s="4" t="inlineStr">
        <is>
          <t>Bezeichnung</t>
        </is>
      </c>
      <c r="K77" s="20" t="inlineStr">
        <is>
          <t>ja</t>
        </is>
      </c>
      <c r="L77" s="4" t="inlineStr"/>
    </row>
    <row r="78">
      <c r="A78" s="4" t="inlineStr">
        <is>
          <t>DWG-Import F3.2</t>
        </is>
      </c>
      <c r="B78" s="4" t="inlineStr">
        <is>
          <t>DE-SIE-11154 (EG-Zeichnung)</t>
        </is>
      </c>
      <c r="C78" s="4" t="inlineStr">
        <is>
          <t>EG</t>
        </is>
      </c>
      <c r="D78" s="4" t="inlineStr">
        <is>
          <t>35</t>
        </is>
      </c>
      <c r="E78" s="4" t="inlineStr"/>
      <c r="F78" s="4" t="inlineStr"/>
      <c r="G78" s="5" t="n">
        <v>19.32</v>
      </c>
      <c r="H78" s="19" t="inlineStr">
        <is>
          <t>offen</t>
        </is>
      </c>
      <c r="I78" s="4">
        <f>IF(LEFT(H78,3)="NUF",LEFT(H78,5),IF(LEFT(H78,2)="TF","TF",IF(LEFT(H78,2)="VF","VF","offen")))</f>
        <v/>
      </c>
      <c r="J78" s="4" t="inlineStr">
        <is>
          <t>keine Bezeichnung</t>
        </is>
      </c>
      <c r="K78" s="20" t="inlineStr">
        <is>
          <t>ja</t>
        </is>
      </c>
      <c r="L78" s="4" t="inlineStr"/>
    </row>
    <row r="79">
      <c r="A79" s="4" t="inlineStr">
        <is>
          <t>DWG-Import F3.2</t>
        </is>
      </c>
      <c r="B79" s="4" t="inlineStr">
        <is>
          <t>DE-SIE-11154 (EG-Zeichnung)</t>
        </is>
      </c>
      <c r="C79" s="4" t="inlineStr">
        <is>
          <t>EG</t>
        </is>
      </c>
      <c r="D79" s="4" t="inlineStr">
        <is>
          <t>37</t>
        </is>
      </c>
      <c r="E79" s="4" t="inlineStr">
        <is>
          <t>Büro (Registratur)</t>
        </is>
      </c>
      <c r="F79" s="4" t="inlineStr"/>
      <c r="G79" s="5" t="n">
        <v>18.61</v>
      </c>
      <c r="H79" s="19" t="inlineStr">
        <is>
          <t>NUF 2.1</t>
        </is>
      </c>
      <c r="I79" s="4">
        <f>IF(LEFT(H79,3)="NUF",LEFT(H79,5),IF(LEFT(H79,2)="TF","TF",IF(LEFT(H79,2)="VF","VF","offen")))</f>
        <v/>
      </c>
      <c r="J79" s="4" t="inlineStr">
        <is>
          <t>Bezeichnung</t>
        </is>
      </c>
      <c r="K79" s="4" t="inlineStr">
        <is>
          <t>nein</t>
        </is>
      </c>
      <c r="L79" s="4" t="inlineStr"/>
    </row>
    <row r="80">
      <c r="A80" s="4" t="inlineStr">
        <is>
          <t>DWG-Import F3.2</t>
        </is>
      </c>
      <c r="B80" s="4" t="inlineStr">
        <is>
          <t>DE-SIE-11154 (EG-Zeichnung)</t>
        </is>
      </c>
      <c r="C80" s="4" t="inlineStr">
        <is>
          <t>EG</t>
        </is>
      </c>
      <c r="D80" s="4" t="inlineStr">
        <is>
          <t>34</t>
        </is>
      </c>
      <c r="E80" s="4" t="inlineStr">
        <is>
          <t>Büro(Poststelle)</t>
        </is>
      </c>
      <c r="F80" s="4" t="inlineStr"/>
      <c r="G80" s="5" t="n">
        <v>99.41</v>
      </c>
      <c r="H80" s="19" t="inlineStr">
        <is>
          <t>NUF 2.1</t>
        </is>
      </c>
      <c r="I80" s="4">
        <f>IF(LEFT(H80,3)="NUF",LEFT(H80,5),IF(LEFT(H80,2)="TF","TF",IF(LEFT(H80,2)="VF","VF","offen")))</f>
        <v/>
      </c>
      <c r="J80" s="4" t="inlineStr">
        <is>
          <t>Bezeichnung</t>
        </is>
      </c>
      <c r="K80" s="20" t="inlineStr">
        <is>
          <t>ja</t>
        </is>
      </c>
      <c r="L80" s="4" t="inlineStr"/>
    </row>
    <row r="81">
      <c r="A81" s="4" t="inlineStr">
        <is>
          <t>DWG-Import F3.2</t>
        </is>
      </c>
      <c r="B81" s="4" t="inlineStr">
        <is>
          <t>DE-SIE-11154 (EG-Zeichnung)</t>
        </is>
      </c>
      <c r="C81" s="4" t="inlineStr">
        <is>
          <t>EG</t>
        </is>
      </c>
      <c r="D81" s="4" t="inlineStr">
        <is>
          <t>34-5</t>
        </is>
      </c>
      <c r="E81" s="4" t="inlineStr"/>
      <c r="F81" s="4" t="inlineStr"/>
      <c r="G81" s="5" t="n">
        <v>41.76</v>
      </c>
      <c r="H81" s="19" t="inlineStr">
        <is>
          <t>offen</t>
        </is>
      </c>
      <c r="I81" s="4">
        <f>IF(LEFT(H81,3)="NUF",LEFT(H81,5),IF(LEFT(H81,2)="TF","TF",IF(LEFT(H81,2)="VF","VF","offen")))</f>
        <v/>
      </c>
      <c r="J81" s="4" t="inlineStr">
        <is>
          <t>keine Bezeichnung</t>
        </is>
      </c>
      <c r="K81" s="20" t="inlineStr">
        <is>
          <t>ja</t>
        </is>
      </c>
      <c r="L81" s="4" t="inlineStr"/>
    </row>
    <row r="82">
      <c r="A82" s="4" t="inlineStr">
        <is>
          <t>DWG-Import F3.2</t>
        </is>
      </c>
      <c r="B82" s="4" t="inlineStr">
        <is>
          <t>DE-SIE-11154 (EG-Zeichnung)</t>
        </is>
      </c>
      <c r="C82" s="4" t="inlineStr">
        <is>
          <t>EG</t>
        </is>
      </c>
      <c r="D82" s="4" t="inlineStr">
        <is>
          <t>34-6</t>
        </is>
      </c>
      <c r="E82" s="4" t="inlineStr"/>
      <c r="F82" s="4" t="inlineStr"/>
      <c r="G82" s="5" t="n">
        <v>13.5</v>
      </c>
      <c r="H82" s="19" t="inlineStr">
        <is>
          <t>offen</t>
        </is>
      </c>
      <c r="I82" s="4">
        <f>IF(LEFT(H82,3)="NUF",LEFT(H82,5),IF(LEFT(H82,2)="TF","TF",IF(LEFT(H82,2)="VF","VF","offen")))</f>
        <v/>
      </c>
      <c r="J82" s="4" t="inlineStr">
        <is>
          <t>keine Bezeichnung</t>
        </is>
      </c>
      <c r="K82" s="20" t="inlineStr">
        <is>
          <t>ja</t>
        </is>
      </c>
      <c r="L82" s="4" t="inlineStr"/>
    </row>
    <row r="83">
      <c r="A83" s="4" t="inlineStr">
        <is>
          <t>DWG-Import F3.2</t>
        </is>
      </c>
      <c r="B83" s="4" t="inlineStr">
        <is>
          <t>DE-SIE-11154 (EG-Zeichnung)</t>
        </is>
      </c>
      <c r="C83" s="4" t="inlineStr">
        <is>
          <t>EG</t>
        </is>
      </c>
      <c r="D83" s="4" t="inlineStr">
        <is>
          <t>1-5.1</t>
        </is>
      </c>
      <c r="E83" s="4" t="inlineStr"/>
      <c r="F83" s="4" t="inlineStr"/>
      <c r="G83" s="5" t="n">
        <v>3.98</v>
      </c>
      <c r="H83" s="19" t="inlineStr">
        <is>
          <t>offen</t>
        </is>
      </c>
      <c r="I83" s="4">
        <f>IF(LEFT(H83,3)="NUF",LEFT(H83,5),IF(LEFT(H83,2)="TF","TF",IF(LEFT(H83,2)="VF","VF","offen")))</f>
        <v/>
      </c>
      <c r="J83" s="4" t="inlineStr">
        <is>
          <t>keine Bezeichnung</t>
        </is>
      </c>
      <c r="K83" s="20" t="inlineStr">
        <is>
          <t>ja</t>
        </is>
      </c>
      <c r="L83" s="4" t="inlineStr"/>
    </row>
    <row r="84">
      <c r="A84" s="4" t="inlineStr">
        <is>
          <t>DWG-Import F3.2</t>
        </is>
      </c>
      <c r="B84" s="4" t="inlineStr">
        <is>
          <t>DE-SIE-11154 (EG-Zeichnung)</t>
        </is>
      </c>
      <c r="C84" s="4" t="inlineStr">
        <is>
          <t>EG</t>
        </is>
      </c>
      <c r="D84" s="4" t="inlineStr">
        <is>
          <t>??</t>
        </is>
      </c>
      <c r="E84" s="4" t="inlineStr"/>
      <c r="F84" s="4" t="inlineStr"/>
      <c r="G84" s="5" t="n">
        <v>3.42</v>
      </c>
      <c r="H84" s="19" t="inlineStr">
        <is>
          <t>offen</t>
        </is>
      </c>
      <c r="I84" s="4">
        <f>IF(LEFT(H84,3)="NUF",LEFT(H84,5),IF(LEFT(H84,2)="TF","TF",IF(LEFT(H84,2)="VF","VF","offen")))</f>
        <v/>
      </c>
      <c r="J84" s="4" t="inlineStr">
        <is>
          <t>keine Bezeichnung</t>
        </is>
      </c>
      <c r="K84" s="20" t="inlineStr">
        <is>
          <t>ja</t>
        </is>
      </c>
      <c r="L84" s="4" t="inlineStr">
        <is>
          <t>Raumnummer fehlt in DWG</t>
        </is>
      </c>
    </row>
    <row r="85">
      <c r="A85" s="4" t="inlineStr">
        <is>
          <t>DWG-Import F3.2</t>
        </is>
      </c>
      <c r="B85" s="4" t="inlineStr">
        <is>
          <t>DE-SIE-11154 (EG-Zeichnung)</t>
        </is>
      </c>
      <c r="C85" s="4" t="inlineStr">
        <is>
          <t>EG</t>
        </is>
      </c>
      <c r="D85" s="4" t="inlineStr">
        <is>
          <t>15-12.1</t>
        </is>
      </c>
      <c r="E85" s="4" t="inlineStr"/>
      <c r="F85" s="4" t="inlineStr"/>
      <c r="G85" s="5" t="n">
        <v>5.26</v>
      </c>
      <c r="H85" s="19" t="inlineStr">
        <is>
          <t>offen</t>
        </is>
      </c>
      <c r="I85" s="4">
        <f>IF(LEFT(H85,3)="NUF",LEFT(H85,5),IF(LEFT(H85,2)="TF","TF",IF(LEFT(H85,2)="VF","VF","offen")))</f>
        <v/>
      </c>
      <c r="J85" s="4" t="inlineStr">
        <is>
          <t>keine Bezeichnung</t>
        </is>
      </c>
      <c r="K85" s="20" t="inlineStr">
        <is>
          <t>ja</t>
        </is>
      </c>
      <c r="L85" s="4" t="inlineStr"/>
    </row>
    <row r="86">
      <c r="A86" s="4" t="inlineStr">
        <is>
          <t>DWG-Import F3.2</t>
        </is>
      </c>
      <c r="B86" s="4" t="inlineStr">
        <is>
          <t>DE-SIE-11154 (EG-Zeichnung)</t>
        </is>
      </c>
      <c r="C86" s="4" t="inlineStr">
        <is>
          <t>EG</t>
        </is>
      </c>
      <c r="D86" s="4" t="inlineStr">
        <is>
          <t>15-12</t>
        </is>
      </c>
      <c r="E86" s="4" t="inlineStr">
        <is>
          <t>Kochstudio</t>
        </is>
      </c>
      <c r="F86" s="4" t="inlineStr"/>
      <c r="G86" s="5" t="n">
        <v>39.54</v>
      </c>
      <c r="H86" s="19" t="inlineStr">
        <is>
          <t>NUF 3.7</t>
        </is>
      </c>
      <c r="I86" s="4">
        <f>IF(LEFT(H86,3)="NUF",LEFT(H86,5),IF(LEFT(H86,2)="TF","TF",IF(LEFT(H86,2)="VF","VF","offen")))</f>
        <v/>
      </c>
      <c r="J86" s="4" t="inlineStr">
        <is>
          <t>Bezeichnung</t>
        </is>
      </c>
      <c r="K86" s="20" t="inlineStr">
        <is>
          <t>ja</t>
        </is>
      </c>
      <c r="L86" s="4" t="inlineStr"/>
    </row>
    <row r="87">
      <c r="A87" s="4" t="inlineStr">
        <is>
          <t>DWG-Import F3.2</t>
        </is>
      </c>
      <c r="B87" s="4" t="inlineStr">
        <is>
          <t>DE-SIE-11154 (EG-Zeichnung)</t>
        </is>
      </c>
      <c r="C87" s="4" t="inlineStr">
        <is>
          <t>EG</t>
        </is>
      </c>
      <c r="D87" s="4" t="inlineStr">
        <is>
          <t>15-1</t>
        </is>
      </c>
      <c r="E87" s="4" t="inlineStr">
        <is>
          <t>Kundenforum</t>
        </is>
      </c>
      <c r="F87" s="4" t="inlineStr"/>
      <c r="G87" s="5" t="n">
        <v>48.66</v>
      </c>
      <c r="H87" s="19" t="inlineStr">
        <is>
          <t>NUF 5.6</t>
        </is>
      </c>
      <c r="I87" s="4">
        <f>IF(LEFT(H87,3)="NUF",LEFT(H87,5),IF(LEFT(H87,2)="TF","TF",IF(LEFT(H87,2)="VF","VF","offen")))</f>
        <v/>
      </c>
      <c r="J87" s="4" t="inlineStr">
        <is>
          <t>Bezeichnung</t>
        </is>
      </c>
      <c r="K87" s="20" t="inlineStr">
        <is>
          <t>ja</t>
        </is>
      </c>
      <c r="L87" s="4" t="inlineStr"/>
    </row>
    <row r="88">
      <c r="A88" s="4" t="inlineStr">
        <is>
          <t>DWG-Import F3.2</t>
        </is>
      </c>
      <c r="B88" s="4" t="inlineStr">
        <is>
          <t>DE-SIE-11154 (EG-Zeichnung)</t>
        </is>
      </c>
      <c r="C88" s="4" t="inlineStr">
        <is>
          <t>EG</t>
        </is>
      </c>
      <c r="D88" s="4" t="inlineStr">
        <is>
          <t>15-1.3</t>
        </is>
      </c>
      <c r="E88" s="4" t="inlineStr"/>
      <c r="F88" s="4" t="inlineStr"/>
      <c r="G88" s="5" t="n">
        <v>19.06</v>
      </c>
      <c r="H88" s="19" t="inlineStr">
        <is>
          <t>offen</t>
        </is>
      </c>
      <c r="I88" s="4">
        <f>IF(LEFT(H88,3)="NUF",LEFT(H88,5),IF(LEFT(H88,2)="TF","TF",IF(LEFT(H88,2)="VF","VF","offen")))</f>
        <v/>
      </c>
      <c r="J88" s="4" t="inlineStr">
        <is>
          <t>keine Bezeichnung</t>
        </is>
      </c>
      <c r="K88" s="20" t="inlineStr">
        <is>
          <t>ja</t>
        </is>
      </c>
      <c r="L88" s="4" t="inlineStr"/>
    </row>
    <row r="89">
      <c r="A89" s="4" t="inlineStr">
        <is>
          <t>DWG-Import F3.2</t>
        </is>
      </c>
      <c r="B89" s="4" t="inlineStr">
        <is>
          <t>DE-SIE-11154 (EG-Zeichnung)</t>
        </is>
      </c>
      <c r="C89" s="4" t="inlineStr">
        <is>
          <t>EG</t>
        </is>
      </c>
      <c r="D89" s="4" t="inlineStr">
        <is>
          <t>15-1.2</t>
        </is>
      </c>
      <c r="E89" s="4" t="inlineStr"/>
      <c r="F89" s="4" t="inlineStr"/>
      <c r="G89" s="5" t="n">
        <v>10.7</v>
      </c>
      <c r="H89" s="19" t="inlineStr">
        <is>
          <t>offen</t>
        </is>
      </c>
      <c r="I89" s="4">
        <f>IF(LEFT(H89,3)="NUF",LEFT(H89,5),IF(LEFT(H89,2)="TF","TF",IF(LEFT(H89,2)="VF","VF","offen")))</f>
        <v/>
      </c>
      <c r="J89" s="4" t="inlineStr">
        <is>
          <t>keine Bezeichnung</t>
        </is>
      </c>
      <c r="K89" s="20" t="inlineStr">
        <is>
          <t>ja</t>
        </is>
      </c>
      <c r="L89" s="4" t="inlineStr"/>
    </row>
    <row r="90">
      <c r="A90" s="4" t="inlineStr">
        <is>
          <t>DWG-Import F3.2</t>
        </is>
      </c>
      <c r="B90" s="4" t="inlineStr">
        <is>
          <t>DE-SIE-11154 (EG-Zeichnung)</t>
        </is>
      </c>
      <c r="C90" s="4" t="inlineStr">
        <is>
          <t>EG</t>
        </is>
      </c>
      <c r="D90" s="4" t="inlineStr">
        <is>
          <t>15-1.1</t>
        </is>
      </c>
      <c r="E90" s="4" t="inlineStr"/>
      <c r="F90" s="4" t="inlineStr"/>
      <c r="G90" s="5" t="n">
        <v>6.46</v>
      </c>
      <c r="H90" s="19" t="inlineStr">
        <is>
          <t>offen</t>
        </is>
      </c>
      <c r="I90" s="4">
        <f>IF(LEFT(H90,3)="NUF",LEFT(H90,5),IF(LEFT(H90,2)="TF","TF",IF(LEFT(H90,2)="VF","VF","offen")))</f>
        <v/>
      </c>
      <c r="J90" s="4" t="inlineStr">
        <is>
          <t>keine Bezeichnung</t>
        </is>
      </c>
      <c r="K90" s="20" t="inlineStr">
        <is>
          <t>ja</t>
        </is>
      </c>
      <c r="L90" s="4" t="inlineStr"/>
    </row>
    <row r="91">
      <c r="A91" s="4" t="inlineStr">
        <is>
          <t>DWG-Import F3.2</t>
        </is>
      </c>
      <c r="B91" s="4" t="inlineStr">
        <is>
          <t>DE-SIE-11154 (EG-Zeichnung)</t>
        </is>
      </c>
      <c r="C91" s="4" t="inlineStr">
        <is>
          <t>EG</t>
        </is>
      </c>
      <c r="D91" s="4" t="inlineStr">
        <is>
          <t>15-1.4</t>
        </is>
      </c>
      <c r="E91" s="4" t="inlineStr"/>
      <c r="F91" s="4" t="inlineStr"/>
      <c r="G91" s="5" t="n">
        <v>30.13</v>
      </c>
      <c r="H91" s="19" t="inlineStr">
        <is>
          <t>offen</t>
        </is>
      </c>
      <c r="I91" s="4">
        <f>IF(LEFT(H91,3)="NUF",LEFT(H91,5),IF(LEFT(H91,2)="TF","TF",IF(LEFT(H91,2)="VF","VF","offen")))</f>
        <v/>
      </c>
      <c r="J91" s="4" t="inlineStr">
        <is>
          <t>keine Bezeichnung</t>
        </is>
      </c>
      <c r="K91" s="20" t="inlineStr">
        <is>
          <t>ja</t>
        </is>
      </c>
      <c r="L91" s="4" t="inlineStr"/>
    </row>
    <row r="92">
      <c r="A92" s="4" t="inlineStr">
        <is>
          <t>DWG-Import F3.2</t>
        </is>
      </c>
      <c r="B92" s="4" t="inlineStr">
        <is>
          <t>DE-SIE-11154 (EG-Zeichnung)</t>
        </is>
      </c>
      <c r="C92" s="4" t="inlineStr">
        <is>
          <t>EG</t>
        </is>
      </c>
      <c r="D92" s="4" t="inlineStr">
        <is>
          <t>15-9</t>
        </is>
      </c>
      <c r="E92" s="4" t="inlineStr"/>
      <c r="F92" s="4" t="inlineStr"/>
      <c r="G92" s="5" t="n">
        <v>5.03</v>
      </c>
      <c r="H92" s="19" t="inlineStr">
        <is>
          <t>offen</t>
        </is>
      </c>
      <c r="I92" s="4">
        <f>IF(LEFT(H92,3)="NUF",LEFT(H92,5),IF(LEFT(H92,2)="TF","TF",IF(LEFT(H92,2)="VF","VF","offen")))</f>
        <v/>
      </c>
      <c r="J92" s="4" t="inlineStr">
        <is>
          <t>keine Bezeichnung</t>
        </is>
      </c>
      <c r="K92" s="20" t="inlineStr">
        <is>
          <t>ja</t>
        </is>
      </c>
      <c r="L92" s="4" t="inlineStr"/>
    </row>
    <row r="93">
      <c r="A93" s="4" t="inlineStr">
        <is>
          <t>DWG-Import F3.2</t>
        </is>
      </c>
      <c r="B93" s="4" t="inlineStr">
        <is>
          <t>DE-SIE-11154 (EG-Zeichnung)</t>
        </is>
      </c>
      <c r="C93" s="4" t="inlineStr">
        <is>
          <t>EG</t>
        </is>
      </c>
      <c r="D93" s="4" t="inlineStr">
        <is>
          <t>15-11</t>
        </is>
      </c>
      <c r="E93" s="4" t="inlineStr"/>
      <c r="F93" s="4" t="inlineStr"/>
      <c r="G93" s="5" t="n">
        <v>5.03</v>
      </c>
      <c r="H93" s="19" t="inlineStr">
        <is>
          <t>offen</t>
        </is>
      </c>
      <c r="I93" s="4">
        <f>IF(LEFT(H93,3)="NUF",LEFT(H93,5),IF(LEFT(H93,2)="TF","TF",IF(LEFT(H93,2)="VF","VF","offen")))</f>
        <v/>
      </c>
      <c r="J93" s="4" t="inlineStr">
        <is>
          <t>keine Bezeichnung</t>
        </is>
      </c>
      <c r="K93" s="20" t="inlineStr">
        <is>
          <t>ja</t>
        </is>
      </c>
      <c r="L93" s="4" t="inlineStr"/>
    </row>
    <row r="94">
      <c r="A94" s="4" t="inlineStr">
        <is>
          <t>DWG-Import F3.2</t>
        </is>
      </c>
      <c r="B94" s="4" t="inlineStr">
        <is>
          <t>DE-SIE-11154 (EG-Zeichnung)</t>
        </is>
      </c>
      <c r="C94" s="4" t="inlineStr">
        <is>
          <t>EG</t>
        </is>
      </c>
      <c r="D94" s="4" t="inlineStr">
        <is>
          <t>15-10</t>
        </is>
      </c>
      <c r="E94" s="4" t="inlineStr"/>
      <c r="F94" s="4" t="inlineStr"/>
      <c r="G94" s="5" t="n">
        <v>6.56</v>
      </c>
      <c r="H94" s="19" t="inlineStr">
        <is>
          <t>offen</t>
        </is>
      </c>
      <c r="I94" s="4">
        <f>IF(LEFT(H94,3)="NUF",LEFT(H94,5),IF(LEFT(H94,2)="TF","TF",IF(LEFT(H94,2)="VF","VF","offen")))</f>
        <v/>
      </c>
      <c r="J94" s="4" t="inlineStr">
        <is>
          <t>keine Bezeichnung</t>
        </is>
      </c>
      <c r="K94" s="20" t="inlineStr">
        <is>
          <t>ja</t>
        </is>
      </c>
      <c r="L94" s="4" t="inlineStr"/>
    </row>
    <row r="95">
      <c r="A95" s="4" t="inlineStr">
        <is>
          <t>DWG-Import F3.2</t>
        </is>
      </c>
      <c r="B95" s="4" t="inlineStr">
        <is>
          <t>DE-SIE-11154 (EG-Zeichnung)</t>
        </is>
      </c>
      <c r="C95" s="4" t="inlineStr">
        <is>
          <t>EG</t>
        </is>
      </c>
      <c r="D95" s="4" t="inlineStr">
        <is>
          <t>15-8</t>
        </is>
      </c>
      <c r="E95" s="4" t="inlineStr"/>
      <c r="F95" s="4" t="inlineStr"/>
      <c r="G95" s="5" t="n">
        <v>3.04</v>
      </c>
      <c r="H95" s="19" t="inlineStr">
        <is>
          <t>offen</t>
        </is>
      </c>
      <c r="I95" s="4">
        <f>IF(LEFT(H95,3)="NUF",LEFT(H95,5),IF(LEFT(H95,2)="TF","TF",IF(LEFT(H95,2)="VF","VF","offen")))</f>
        <v/>
      </c>
      <c r="J95" s="4" t="inlineStr">
        <is>
          <t>keine Bezeichnung</t>
        </is>
      </c>
      <c r="K95" s="20" t="inlineStr">
        <is>
          <t>ja</t>
        </is>
      </c>
      <c r="L95" s="4" t="inlineStr"/>
    </row>
    <row r="96">
      <c r="A96" s="4" t="inlineStr">
        <is>
          <t>DWG-Import F3.2</t>
        </is>
      </c>
      <c r="B96" s="4" t="inlineStr">
        <is>
          <t>DE-SIE-11154 (EG-Zeichnung)</t>
        </is>
      </c>
      <c r="C96" s="4" t="inlineStr">
        <is>
          <t>EG</t>
        </is>
      </c>
      <c r="D96" s="4" t="inlineStr">
        <is>
          <t>15-8.1</t>
        </is>
      </c>
      <c r="E96" s="4" t="inlineStr"/>
      <c r="F96" s="4" t="inlineStr"/>
      <c r="G96" s="5" t="n">
        <v>1.55</v>
      </c>
      <c r="H96" s="19" t="inlineStr">
        <is>
          <t>offen</t>
        </is>
      </c>
      <c r="I96" s="4">
        <f>IF(LEFT(H96,3)="NUF",LEFT(H96,5),IF(LEFT(H96,2)="TF","TF",IF(LEFT(H96,2)="VF","VF","offen")))</f>
        <v/>
      </c>
      <c r="J96" s="4" t="inlineStr">
        <is>
          <t>keine Bezeichnung</t>
        </is>
      </c>
      <c r="K96" s="20" t="inlineStr">
        <is>
          <t>ja</t>
        </is>
      </c>
      <c r="L96" s="4" t="inlineStr"/>
    </row>
    <row r="97">
      <c r="A97" s="4" t="inlineStr">
        <is>
          <t>DWG-Import F3.2</t>
        </is>
      </c>
      <c r="B97" s="4" t="inlineStr">
        <is>
          <t>DE-SIE-11154 (EG-Zeichnung)</t>
        </is>
      </c>
      <c r="C97" s="4" t="inlineStr">
        <is>
          <t>EG</t>
        </is>
      </c>
      <c r="D97" s="4" t="inlineStr">
        <is>
          <t>15-8.2</t>
        </is>
      </c>
      <c r="E97" s="4" t="inlineStr"/>
      <c r="F97" s="4" t="inlineStr"/>
      <c r="G97" s="5" t="n">
        <v>1.55</v>
      </c>
      <c r="H97" s="19" t="inlineStr">
        <is>
          <t>offen</t>
        </is>
      </c>
      <c r="I97" s="4">
        <f>IF(LEFT(H97,3)="NUF",LEFT(H97,5),IF(LEFT(H97,2)="TF","TF",IF(LEFT(H97,2)="VF","VF","offen")))</f>
        <v/>
      </c>
      <c r="J97" s="4" t="inlineStr">
        <is>
          <t>keine Bezeichnung</t>
        </is>
      </c>
      <c r="K97" s="20" t="inlineStr">
        <is>
          <t>ja</t>
        </is>
      </c>
      <c r="L97" s="4" t="inlineStr"/>
    </row>
    <row r="98">
      <c r="A98" s="4" t="inlineStr">
        <is>
          <t>DWG-Import F3.2</t>
        </is>
      </c>
      <c r="B98" s="4" t="inlineStr">
        <is>
          <t>DE-SIE-11154 (EG-Zeichnung)</t>
        </is>
      </c>
      <c r="C98" s="4" t="inlineStr">
        <is>
          <t>EG</t>
        </is>
      </c>
      <c r="D98" s="4" t="inlineStr">
        <is>
          <t>15-6</t>
        </is>
      </c>
      <c r="E98" s="4" t="inlineStr">
        <is>
          <t>Garderobe</t>
        </is>
      </c>
      <c r="F98" s="4" t="inlineStr"/>
      <c r="G98" s="5" t="n">
        <v>22.51</v>
      </c>
      <c r="H98" s="19" t="inlineStr">
        <is>
          <t>NUF 7.2</t>
        </is>
      </c>
      <c r="I98" s="4">
        <f>IF(LEFT(H98,3)="NUF",LEFT(H98,5),IF(LEFT(H98,2)="TF","TF",IF(LEFT(H98,2)="VF","VF","offen")))</f>
        <v/>
      </c>
      <c r="J98" s="4" t="inlineStr">
        <is>
          <t>Bezeichnung</t>
        </is>
      </c>
      <c r="K98" s="4" t="inlineStr">
        <is>
          <t>nein</t>
        </is>
      </c>
      <c r="L98" s="4" t="inlineStr"/>
    </row>
    <row r="99">
      <c r="A99" s="4" t="inlineStr">
        <is>
          <t>DWG-Import F3.2</t>
        </is>
      </c>
      <c r="B99" s="4" t="inlineStr">
        <is>
          <t>DE-SIE-11154 (EG-Zeichnung)</t>
        </is>
      </c>
      <c r="C99" s="4" t="inlineStr">
        <is>
          <t>EG</t>
        </is>
      </c>
      <c r="D99" s="4" t="inlineStr">
        <is>
          <t>15-7</t>
        </is>
      </c>
      <c r="E99" s="4" t="inlineStr">
        <is>
          <t>Vorbereitungsküche</t>
        </is>
      </c>
      <c r="F99" s="4" t="inlineStr"/>
      <c r="G99" s="5" t="n">
        <v>19.01</v>
      </c>
      <c r="H99" s="19" t="inlineStr">
        <is>
          <t>NUF 3.7</t>
        </is>
      </c>
      <c r="I99" s="4">
        <f>IF(LEFT(H99,3)="NUF",LEFT(H99,5),IF(LEFT(H99,2)="TF","TF",IF(LEFT(H99,2)="VF","VF","offen")))</f>
        <v/>
      </c>
      <c r="J99" s="4" t="inlineStr">
        <is>
          <t>Bezeichnung</t>
        </is>
      </c>
      <c r="K99" s="4" t="inlineStr">
        <is>
          <t>nein</t>
        </is>
      </c>
      <c r="L99" s="4" t="inlineStr"/>
    </row>
    <row r="100">
      <c r="A100" s="4" t="inlineStr">
        <is>
          <t>DWG-Import F3.2</t>
        </is>
      </c>
      <c r="B100" s="4" t="inlineStr">
        <is>
          <t>DE-SIE-11154 (EG-Zeichnung)</t>
        </is>
      </c>
      <c r="C100" s="4" t="inlineStr">
        <is>
          <t>EG</t>
        </is>
      </c>
      <c r="D100" s="4" t="inlineStr">
        <is>
          <t>55</t>
        </is>
      </c>
      <c r="E100" s="4" t="inlineStr">
        <is>
          <t>Koch- und Bratküche</t>
        </is>
      </c>
      <c r="F100" s="4" t="inlineStr"/>
      <c r="G100" s="5" t="n">
        <v>140.7</v>
      </c>
      <c r="H100" s="19" t="inlineStr">
        <is>
          <t>NUF 3.7</t>
        </is>
      </c>
      <c r="I100" s="4">
        <f>IF(LEFT(H100,3)="NUF",LEFT(H100,5),IF(LEFT(H100,2)="TF","TF",IF(LEFT(H100,2)="VF","VF","offen")))</f>
        <v/>
      </c>
      <c r="J100" s="4" t="inlineStr">
        <is>
          <t>Bezeichnung</t>
        </is>
      </c>
      <c r="K100" s="4" t="inlineStr">
        <is>
          <t>nein</t>
        </is>
      </c>
      <c r="L100" s="4" t="inlineStr"/>
    </row>
    <row r="101">
      <c r="A101" s="4" t="inlineStr">
        <is>
          <t>DWG-Import F3.2</t>
        </is>
      </c>
      <c r="B101" s="4" t="inlineStr">
        <is>
          <t>DE-SIE-11154 (EG-Zeichnung)</t>
        </is>
      </c>
      <c r="C101" s="4" t="inlineStr">
        <is>
          <t>EG</t>
        </is>
      </c>
      <c r="D101" s="4" t="inlineStr">
        <is>
          <t>58-5</t>
        </is>
      </c>
      <c r="E101" s="4" t="inlineStr">
        <is>
          <t>Tageslager</t>
        </is>
      </c>
      <c r="F101" s="4" t="inlineStr"/>
      <c r="G101" s="5" t="n">
        <v>3.79</v>
      </c>
      <c r="H101" s="19" t="inlineStr">
        <is>
          <t>NUF 4.1</t>
        </is>
      </c>
      <c r="I101" s="4">
        <f>IF(LEFT(H101,3)="NUF",LEFT(H101,5),IF(LEFT(H101,2)="TF","TF",IF(LEFT(H101,2)="VF","VF","offen")))</f>
        <v/>
      </c>
      <c r="J101" s="4" t="inlineStr">
        <is>
          <t>Bezeichnung</t>
        </is>
      </c>
      <c r="K101" s="4" t="inlineStr">
        <is>
          <t>nein</t>
        </is>
      </c>
      <c r="L101" s="4" t="inlineStr"/>
    </row>
    <row r="102">
      <c r="A102" s="4" t="inlineStr">
        <is>
          <t>DWG-Import F3.2</t>
        </is>
      </c>
      <c r="B102" s="4" t="inlineStr">
        <is>
          <t>DE-SIE-11154 (EG-Zeichnung)</t>
        </is>
      </c>
      <c r="C102" s="4" t="inlineStr">
        <is>
          <t>EG</t>
        </is>
      </c>
      <c r="D102" s="4" t="inlineStr">
        <is>
          <t>62</t>
        </is>
      </c>
      <c r="E102" s="4" t="inlineStr">
        <is>
          <t>Gäste 2</t>
        </is>
      </c>
      <c r="F102" s="4" t="inlineStr"/>
      <c r="G102" s="5" t="n">
        <v>41.67</v>
      </c>
      <c r="H102" s="19" t="inlineStr">
        <is>
          <t>NUF 1.5</t>
        </is>
      </c>
      <c r="I102" s="4">
        <f>IF(LEFT(H102,3)="NUF",LEFT(H102,5),IF(LEFT(H102,2)="TF","TF",IF(LEFT(H102,2)="VF","VF","offen")))</f>
        <v/>
      </c>
      <c r="J102" s="4" t="inlineStr">
        <is>
          <t>Bezeichnung</t>
        </is>
      </c>
      <c r="K102" s="20" t="inlineStr">
        <is>
          <t>ja</t>
        </is>
      </c>
      <c r="L102" s="4" t="inlineStr"/>
    </row>
    <row r="103">
      <c r="A103" s="4" t="inlineStr">
        <is>
          <t>DWG-Import F3.2</t>
        </is>
      </c>
      <c r="B103" s="4" t="inlineStr">
        <is>
          <t>DE-SIE-11154 (EG-Zeichnung)</t>
        </is>
      </c>
      <c r="C103" s="4" t="inlineStr">
        <is>
          <t>EG</t>
        </is>
      </c>
      <c r="D103" s="4" t="inlineStr">
        <is>
          <t>58-3</t>
        </is>
      </c>
      <c r="E103" s="4" t="inlineStr"/>
      <c r="F103" s="4" t="inlineStr"/>
      <c r="G103" s="5" t="n">
        <v>4.52</v>
      </c>
      <c r="H103" s="19" t="inlineStr">
        <is>
          <t>offen</t>
        </is>
      </c>
      <c r="I103" s="4">
        <f>IF(LEFT(H103,3)="NUF",LEFT(H103,5),IF(LEFT(H103,2)="TF","TF",IF(LEFT(H103,2)="VF","VF","offen")))</f>
        <v/>
      </c>
      <c r="J103" s="4" t="inlineStr">
        <is>
          <t>keine Bezeichnung</t>
        </is>
      </c>
      <c r="K103" s="20" t="inlineStr">
        <is>
          <t>ja</t>
        </is>
      </c>
      <c r="L103" s="4" t="inlineStr"/>
    </row>
    <row r="104">
      <c r="A104" s="4" t="inlineStr">
        <is>
          <t>DWG-Import F3.2</t>
        </is>
      </c>
      <c r="B104" s="4" t="inlineStr">
        <is>
          <t>DE-SIE-11154 (EG-Zeichnung)</t>
        </is>
      </c>
      <c r="C104" s="4" t="inlineStr">
        <is>
          <t>EG</t>
        </is>
      </c>
      <c r="D104" s="4" t="inlineStr">
        <is>
          <t>58</t>
        </is>
      </c>
      <c r="E104" s="4" t="inlineStr"/>
      <c r="F104" s="4" t="inlineStr"/>
      <c r="G104" s="5" t="n">
        <v>7.62</v>
      </c>
      <c r="H104" s="19" t="inlineStr">
        <is>
          <t>offen</t>
        </is>
      </c>
      <c r="I104" s="4">
        <f>IF(LEFT(H104,3)="NUF",LEFT(H104,5),IF(LEFT(H104,2)="TF","TF",IF(LEFT(H104,2)="VF","VF","offen")))</f>
        <v/>
      </c>
      <c r="J104" s="4" t="inlineStr">
        <is>
          <t>keine Bezeichnung</t>
        </is>
      </c>
      <c r="K104" s="20" t="inlineStr">
        <is>
          <t>ja</t>
        </is>
      </c>
      <c r="L104" s="4" t="inlineStr"/>
    </row>
    <row r="105">
      <c r="A105" s="4" t="inlineStr">
        <is>
          <t>DWG-Import F3.2</t>
        </is>
      </c>
      <c r="B105" s="4" t="inlineStr">
        <is>
          <t>DE-SIE-11154 (EG-Zeichnung)</t>
        </is>
      </c>
      <c r="C105" s="4" t="inlineStr">
        <is>
          <t>EG</t>
        </is>
      </c>
      <c r="D105" s="4" t="inlineStr">
        <is>
          <t>58-8</t>
        </is>
      </c>
      <c r="E105" s="4" t="inlineStr"/>
      <c r="F105" s="4" t="inlineStr"/>
      <c r="G105" s="5" t="n">
        <v>6.08</v>
      </c>
      <c r="H105" s="19" t="inlineStr">
        <is>
          <t>offen</t>
        </is>
      </c>
      <c r="I105" s="4">
        <f>IF(LEFT(H105,3)="NUF",LEFT(H105,5),IF(LEFT(H105,2)="TF","TF",IF(LEFT(H105,2)="VF","VF","offen")))</f>
        <v/>
      </c>
      <c r="J105" s="4" t="inlineStr">
        <is>
          <t>keine Bezeichnung</t>
        </is>
      </c>
      <c r="K105" s="20" t="inlineStr">
        <is>
          <t>ja</t>
        </is>
      </c>
      <c r="L105" s="4" t="inlineStr"/>
    </row>
    <row r="106">
      <c r="A106" s="4" t="inlineStr">
        <is>
          <t>DWG-Import F3.2</t>
        </is>
      </c>
      <c r="B106" s="4" t="inlineStr">
        <is>
          <t>DE-SIE-11154 (EG-Zeichnung)</t>
        </is>
      </c>
      <c r="C106" s="4" t="inlineStr">
        <is>
          <t>EG</t>
        </is>
      </c>
      <c r="D106" s="4" t="inlineStr">
        <is>
          <t>58-9</t>
        </is>
      </c>
      <c r="E106" s="4" t="inlineStr"/>
      <c r="F106" s="4" t="inlineStr"/>
      <c r="G106" s="5" t="n">
        <v>1.92</v>
      </c>
      <c r="H106" s="19" t="inlineStr">
        <is>
          <t>offen</t>
        </is>
      </c>
      <c r="I106" s="4">
        <f>IF(LEFT(H106,3)="NUF",LEFT(H106,5),IF(LEFT(H106,2)="TF","TF",IF(LEFT(H106,2)="VF","VF","offen")))</f>
        <v/>
      </c>
      <c r="J106" s="4" t="inlineStr">
        <is>
          <t>keine Bezeichnung</t>
        </is>
      </c>
      <c r="K106" s="20" t="inlineStr">
        <is>
          <t>ja</t>
        </is>
      </c>
      <c r="L106" s="4" t="inlineStr"/>
    </row>
    <row r="107">
      <c r="A107" s="4" t="inlineStr">
        <is>
          <t>DWG-Import F3.2</t>
        </is>
      </c>
      <c r="B107" s="4" t="inlineStr">
        <is>
          <t>DE-SIE-11154 (EG-Zeichnung)</t>
        </is>
      </c>
      <c r="C107" s="4" t="inlineStr">
        <is>
          <t>EG</t>
        </is>
      </c>
      <c r="D107" s="4" t="inlineStr">
        <is>
          <t>58-10</t>
        </is>
      </c>
      <c r="E107" s="4" t="inlineStr"/>
      <c r="F107" s="4" t="inlineStr"/>
      <c r="G107" s="5" t="n">
        <v>3.09</v>
      </c>
      <c r="H107" s="19" t="inlineStr">
        <is>
          <t>offen</t>
        </is>
      </c>
      <c r="I107" s="4">
        <f>IF(LEFT(H107,3)="NUF",LEFT(H107,5),IF(LEFT(H107,2)="TF","TF",IF(LEFT(H107,2)="VF","VF","offen")))</f>
        <v/>
      </c>
      <c r="J107" s="4" t="inlineStr">
        <is>
          <t>keine Bezeichnung</t>
        </is>
      </c>
      <c r="K107" s="20" t="inlineStr">
        <is>
          <t>ja</t>
        </is>
      </c>
      <c r="L107" s="4" t="inlineStr"/>
    </row>
    <row r="108">
      <c r="A108" s="4" t="inlineStr">
        <is>
          <t>DWG-Import F3.2</t>
        </is>
      </c>
      <c r="B108" s="4" t="inlineStr">
        <is>
          <t>DE-SIE-11154 (EG-Zeichnung)</t>
        </is>
      </c>
      <c r="C108" s="4" t="inlineStr">
        <is>
          <t>EG</t>
        </is>
      </c>
      <c r="D108" s="4" t="inlineStr">
        <is>
          <t>57</t>
        </is>
      </c>
      <c r="E108" s="4" t="inlineStr"/>
      <c r="F108" s="4" t="inlineStr"/>
      <c r="G108" s="5" t="n">
        <v>14.27</v>
      </c>
      <c r="H108" s="19" t="inlineStr">
        <is>
          <t>offen</t>
        </is>
      </c>
      <c r="I108" s="4">
        <f>IF(LEFT(H108,3)="NUF",LEFT(H108,5),IF(LEFT(H108,2)="TF","TF",IF(LEFT(H108,2)="VF","VF","offen")))</f>
        <v/>
      </c>
      <c r="J108" s="4" t="inlineStr">
        <is>
          <t>keine Bezeichnung</t>
        </is>
      </c>
      <c r="K108" s="20" t="inlineStr">
        <is>
          <t>ja</t>
        </is>
      </c>
      <c r="L108" s="4" t="inlineStr"/>
    </row>
    <row r="109">
      <c r="A109" s="4" t="inlineStr">
        <is>
          <t>DWG-Import F3.2</t>
        </is>
      </c>
      <c r="B109" s="4" t="inlineStr">
        <is>
          <t>DE-SIE-11154 (EG-Zeichnung)</t>
        </is>
      </c>
      <c r="C109" s="4" t="inlineStr">
        <is>
          <t>EG</t>
        </is>
      </c>
      <c r="D109" s="4" t="inlineStr">
        <is>
          <t>56</t>
        </is>
      </c>
      <c r="E109" s="4" t="inlineStr">
        <is>
          <t>Tageslager</t>
        </is>
      </c>
      <c r="F109" s="4" t="inlineStr"/>
      <c r="G109" s="5" t="n">
        <v>8.029999999999999</v>
      </c>
      <c r="H109" s="19" t="inlineStr">
        <is>
          <t>NUF 4.1</t>
        </is>
      </c>
      <c r="I109" s="4">
        <f>IF(LEFT(H109,3)="NUF",LEFT(H109,5),IF(LEFT(H109,2)="TF","TF",IF(LEFT(H109,2)="VF","VF","offen")))</f>
        <v/>
      </c>
      <c r="J109" s="4" t="inlineStr">
        <is>
          <t>Bezeichnung</t>
        </is>
      </c>
      <c r="K109" s="4" t="inlineStr">
        <is>
          <t>nein</t>
        </is>
      </c>
      <c r="L109" s="4" t="inlineStr"/>
    </row>
    <row r="110">
      <c r="A110" s="4" t="inlineStr">
        <is>
          <t>DWG-Import F3.2</t>
        </is>
      </c>
      <c r="B110" s="4" t="inlineStr">
        <is>
          <t>DE-SIE-11154 (EG-Zeichnung)</t>
        </is>
      </c>
      <c r="C110" s="4" t="inlineStr">
        <is>
          <t>EG</t>
        </is>
      </c>
      <c r="D110" s="4" t="inlineStr">
        <is>
          <t>58-1</t>
        </is>
      </c>
      <c r="E110" s="4" t="inlineStr"/>
      <c r="F110" s="4" t="inlineStr"/>
      <c r="G110" s="5" t="n">
        <v>21.75</v>
      </c>
      <c r="H110" s="19" t="inlineStr">
        <is>
          <t>offen</t>
        </is>
      </c>
      <c r="I110" s="4">
        <f>IF(LEFT(H110,3)="NUF",LEFT(H110,5),IF(LEFT(H110,2)="TF","TF",IF(LEFT(H110,2)="VF","VF","offen")))</f>
        <v/>
      </c>
      <c r="J110" s="4" t="inlineStr">
        <is>
          <t>keine Bezeichnung</t>
        </is>
      </c>
      <c r="K110" s="20" t="inlineStr">
        <is>
          <t>ja</t>
        </is>
      </c>
      <c r="L110" s="4" t="inlineStr"/>
    </row>
    <row r="111">
      <c r="A111" s="4" t="inlineStr">
        <is>
          <t>DWG-Import F3.2</t>
        </is>
      </c>
      <c r="B111" s="4" t="inlineStr">
        <is>
          <t>DE-SIE-11154 (EG-Zeichnung)</t>
        </is>
      </c>
      <c r="C111" s="4" t="inlineStr">
        <is>
          <t>EG</t>
        </is>
      </c>
      <c r="D111" s="4" t="inlineStr">
        <is>
          <t>58-2</t>
        </is>
      </c>
      <c r="E111" s="4" t="inlineStr">
        <is>
          <t>An- u. Rücklieferung</t>
        </is>
      </c>
      <c r="F111" s="4" t="inlineStr"/>
      <c r="G111" s="5" t="n">
        <v>11.9</v>
      </c>
      <c r="H111" s="19" t="inlineStr">
        <is>
          <t>NUF 4.4</t>
        </is>
      </c>
      <c r="I111" s="4">
        <f>IF(LEFT(H111,3)="NUF",LEFT(H111,5),IF(LEFT(H111,2)="TF","TF",IF(LEFT(H111,2)="VF","VF","offen")))</f>
        <v/>
      </c>
      <c r="J111" s="4" t="inlineStr">
        <is>
          <t>Bezeichnung</t>
        </is>
      </c>
      <c r="K111" s="4" t="inlineStr">
        <is>
          <t>nein</t>
        </is>
      </c>
      <c r="L111" s="4" t="inlineStr"/>
    </row>
    <row r="112">
      <c r="A112" s="4" t="inlineStr">
        <is>
          <t>DWG-Import F3.2</t>
        </is>
      </c>
      <c r="B112" s="4" t="inlineStr">
        <is>
          <t>DE-SIE-11154 (EG-Zeichnung)</t>
        </is>
      </c>
      <c r="C112" s="4" t="inlineStr">
        <is>
          <t>EG</t>
        </is>
      </c>
      <c r="D112" s="4" t="inlineStr">
        <is>
          <t>61</t>
        </is>
      </c>
      <c r="E112" s="4" t="inlineStr">
        <is>
          <t>Gäste 1</t>
        </is>
      </c>
      <c r="F112" s="4" t="inlineStr"/>
      <c r="G112" s="5" t="n">
        <v>28.54</v>
      </c>
      <c r="H112" s="19" t="inlineStr">
        <is>
          <t>NUF 1.5</t>
        </is>
      </c>
      <c r="I112" s="4">
        <f>IF(LEFT(H112,3)="NUF",LEFT(H112,5),IF(LEFT(H112,2)="TF","TF",IF(LEFT(H112,2)="VF","VF","offen")))</f>
        <v/>
      </c>
      <c r="J112" s="4" t="inlineStr">
        <is>
          <t>Bezeichnung</t>
        </is>
      </c>
      <c r="K112" s="20" t="inlineStr">
        <is>
          <t>ja</t>
        </is>
      </c>
      <c r="L112" s="4" t="inlineStr"/>
    </row>
    <row r="113">
      <c r="A113" s="4" t="inlineStr">
        <is>
          <t>DWG-Import F3.2</t>
        </is>
      </c>
      <c r="B113" s="4" t="inlineStr">
        <is>
          <t>DE-SIE-11154 (EG-Zeichnung)</t>
        </is>
      </c>
      <c r="C113" s="4" t="inlineStr">
        <is>
          <t>EG</t>
        </is>
      </c>
      <c r="D113" s="4" t="inlineStr">
        <is>
          <t>60-3</t>
        </is>
      </c>
      <c r="E113" s="4" t="inlineStr"/>
      <c r="F113" s="4" t="inlineStr"/>
      <c r="G113" s="5" t="n">
        <v>5.93</v>
      </c>
      <c r="H113" s="19" t="inlineStr">
        <is>
          <t>offen</t>
        </is>
      </c>
      <c r="I113" s="4">
        <f>IF(LEFT(H113,3)="NUF",LEFT(H113,5),IF(LEFT(H113,2)="TF","TF",IF(LEFT(H113,2)="VF","VF","offen")))</f>
        <v/>
      </c>
      <c r="J113" s="4" t="inlineStr">
        <is>
          <t>keine Bezeichnung</t>
        </is>
      </c>
      <c r="K113" s="20" t="inlineStr">
        <is>
          <t>ja</t>
        </is>
      </c>
      <c r="L113" s="4" t="inlineStr"/>
    </row>
    <row r="114">
      <c r="A114" s="4" t="inlineStr">
        <is>
          <t>DWG-Import F3.2</t>
        </is>
      </c>
      <c r="B114" s="4" t="inlineStr">
        <is>
          <t>DE-SIE-11154 (EG-Zeichnung)</t>
        </is>
      </c>
      <c r="C114" s="4" t="inlineStr">
        <is>
          <t>EG</t>
        </is>
      </c>
      <c r="D114" s="4" t="inlineStr">
        <is>
          <t>60-3.1</t>
        </is>
      </c>
      <c r="E114" s="4" t="inlineStr"/>
      <c r="F114" s="4" t="inlineStr"/>
      <c r="G114" s="5" t="n">
        <v>8.25</v>
      </c>
      <c r="H114" s="19" t="inlineStr">
        <is>
          <t>offen</t>
        </is>
      </c>
      <c r="I114" s="4">
        <f>IF(LEFT(H114,3)="NUF",LEFT(H114,5),IF(LEFT(H114,2)="TF","TF",IF(LEFT(H114,2)="VF","VF","offen")))</f>
        <v/>
      </c>
      <c r="J114" s="4" t="inlineStr">
        <is>
          <t>keine Bezeichnung</t>
        </is>
      </c>
      <c r="K114" s="20" t="inlineStr">
        <is>
          <t>ja</t>
        </is>
      </c>
      <c r="L114" s="4" t="inlineStr"/>
    </row>
    <row r="115">
      <c r="A115" s="4" t="inlineStr">
        <is>
          <t>DWG-Import F3.2</t>
        </is>
      </c>
      <c r="B115" s="4" t="inlineStr">
        <is>
          <t>DE-SIE-11154 (EG-Zeichnung)</t>
        </is>
      </c>
      <c r="C115" s="4" t="inlineStr">
        <is>
          <t>EG</t>
        </is>
      </c>
      <c r="D115" s="4" t="inlineStr">
        <is>
          <t>60-4</t>
        </is>
      </c>
      <c r="E115" s="4" t="inlineStr"/>
      <c r="F115" s="4" t="inlineStr"/>
      <c r="G115" s="5" t="n">
        <v>2.77</v>
      </c>
      <c r="H115" s="19" t="inlineStr">
        <is>
          <t>offen</t>
        </is>
      </c>
      <c r="I115" s="4">
        <f>IF(LEFT(H115,3)="NUF",LEFT(H115,5),IF(LEFT(H115,2)="TF","TF",IF(LEFT(H115,2)="VF","VF","offen")))</f>
        <v/>
      </c>
      <c r="J115" s="4" t="inlineStr">
        <is>
          <t>keine Bezeichnung</t>
        </is>
      </c>
      <c r="K115" s="20" t="inlineStr">
        <is>
          <t>ja</t>
        </is>
      </c>
      <c r="L115" s="4" t="inlineStr"/>
    </row>
    <row r="116">
      <c r="A116" s="4" t="inlineStr">
        <is>
          <t>DWG-Import F3.2</t>
        </is>
      </c>
      <c r="B116" s="4" t="inlineStr">
        <is>
          <t>DE-SIE-11154 (EG-Zeichnung)</t>
        </is>
      </c>
      <c r="C116" s="4" t="inlineStr">
        <is>
          <t>EG</t>
        </is>
      </c>
      <c r="D116" s="4" t="inlineStr">
        <is>
          <t>60-4.1</t>
        </is>
      </c>
      <c r="E116" s="4" t="inlineStr"/>
      <c r="F116" s="4" t="inlineStr"/>
      <c r="G116" s="5" t="n">
        <v>1.4</v>
      </c>
      <c r="H116" s="19" t="inlineStr">
        <is>
          <t>offen</t>
        </is>
      </c>
      <c r="I116" s="4">
        <f>IF(LEFT(H116,3)="NUF",LEFT(H116,5),IF(LEFT(H116,2)="TF","TF",IF(LEFT(H116,2)="VF","VF","offen")))</f>
        <v/>
      </c>
      <c r="J116" s="4" t="inlineStr">
        <is>
          <t>keine Bezeichnung</t>
        </is>
      </c>
      <c r="K116" s="20" t="inlineStr">
        <is>
          <t>ja</t>
        </is>
      </c>
      <c r="L116" s="4" t="inlineStr"/>
    </row>
    <row r="117">
      <c r="A117" s="4" t="inlineStr">
        <is>
          <t>DWG-Import F3.2</t>
        </is>
      </c>
      <c r="B117" s="4" t="inlineStr">
        <is>
          <t>DE-SIE-11154 (EG-Zeichnung)</t>
        </is>
      </c>
      <c r="C117" s="4" t="inlineStr">
        <is>
          <t>EG</t>
        </is>
      </c>
      <c r="D117" s="4" t="inlineStr">
        <is>
          <t>60-5</t>
        </is>
      </c>
      <c r="E117" s="4" t="inlineStr">
        <is>
          <t>Tel</t>
        </is>
      </c>
      <c r="F117" s="4" t="inlineStr"/>
      <c r="G117" s="5" t="n">
        <v>2.6</v>
      </c>
      <c r="H117" s="19" t="inlineStr">
        <is>
          <t>TF 8</t>
        </is>
      </c>
      <c r="I117" s="4">
        <f>IF(LEFT(H117,3)="NUF",LEFT(H117,5),IF(LEFT(H117,2)="TF","TF",IF(LEFT(H117,2)="VF","VF","offen")))</f>
        <v/>
      </c>
      <c r="J117" s="4" t="inlineStr">
        <is>
          <t>Bezeichnung</t>
        </is>
      </c>
      <c r="K117" s="20" t="inlineStr">
        <is>
          <t>ja</t>
        </is>
      </c>
      <c r="L117" s="4" t="inlineStr"/>
    </row>
    <row r="118">
      <c r="A118" s="4" t="inlineStr">
        <is>
          <t>DWG-Import F3.2</t>
        </is>
      </c>
      <c r="B118" s="4" t="inlineStr">
        <is>
          <t>DE-SIE-11154 (EG-Zeichnung)</t>
        </is>
      </c>
      <c r="C118" s="4" t="inlineStr">
        <is>
          <t>EG</t>
        </is>
      </c>
      <c r="D118" s="4" t="inlineStr">
        <is>
          <t>60-1</t>
        </is>
      </c>
      <c r="E118" s="4" t="inlineStr"/>
      <c r="F118" s="4" t="inlineStr"/>
      <c r="G118" s="5" t="n">
        <v>2.6</v>
      </c>
      <c r="H118" s="19" t="inlineStr">
        <is>
          <t>offen</t>
        </is>
      </c>
      <c r="I118" s="4">
        <f>IF(LEFT(H118,3)="NUF",LEFT(H118,5),IF(LEFT(H118,2)="TF","TF",IF(LEFT(H118,2)="VF","VF","offen")))</f>
        <v/>
      </c>
      <c r="J118" s="4" t="inlineStr">
        <is>
          <t>keine Bezeichnung</t>
        </is>
      </c>
      <c r="K118" s="20" t="inlineStr">
        <is>
          <t>ja</t>
        </is>
      </c>
      <c r="L118" s="4" t="inlineStr"/>
    </row>
    <row r="119">
      <c r="A119" s="4" t="inlineStr">
        <is>
          <t>DWG-Import F3.2</t>
        </is>
      </c>
      <c r="B119" s="4" t="inlineStr">
        <is>
          <t>DE-SIE-11154 (EG-Zeichnung)</t>
        </is>
      </c>
      <c r="C119" s="4" t="inlineStr">
        <is>
          <t>EG</t>
        </is>
      </c>
      <c r="D119" s="4" t="inlineStr">
        <is>
          <t>60-2</t>
        </is>
      </c>
      <c r="E119" s="4" t="inlineStr"/>
      <c r="F119" s="4" t="inlineStr"/>
      <c r="G119" s="5" t="n">
        <v>5.35</v>
      </c>
      <c r="H119" s="19" t="inlineStr">
        <is>
          <t>offen</t>
        </is>
      </c>
      <c r="I119" s="4">
        <f>IF(LEFT(H119,3)="NUF",LEFT(H119,5),IF(LEFT(H119,2)="TF","TF",IF(LEFT(H119,2)="VF","VF","offen")))</f>
        <v/>
      </c>
      <c r="J119" s="4" t="inlineStr">
        <is>
          <t>keine Bezeichnung</t>
        </is>
      </c>
      <c r="K119" s="20" t="inlineStr">
        <is>
          <t>ja</t>
        </is>
      </c>
      <c r="L119" s="4" t="inlineStr"/>
    </row>
    <row r="120">
      <c r="A120" s="4" t="inlineStr">
        <is>
          <t>DWG-Import F3.2</t>
        </is>
      </c>
      <c r="B120" s="4" t="inlineStr">
        <is>
          <t>DE-SIE-11154 (EG-Zeichnung)</t>
        </is>
      </c>
      <c r="C120" s="4" t="inlineStr">
        <is>
          <t>EG</t>
        </is>
      </c>
      <c r="D120" s="4" t="inlineStr">
        <is>
          <t>60</t>
        </is>
      </c>
      <c r="E120" s="4" t="inlineStr"/>
      <c r="F120" s="4" t="inlineStr"/>
      <c r="G120" s="5" t="n">
        <v>39.42</v>
      </c>
      <c r="H120" s="19" t="inlineStr">
        <is>
          <t>offen</t>
        </is>
      </c>
      <c r="I120" s="4">
        <f>IF(LEFT(H120,3)="NUF",LEFT(H120,5),IF(LEFT(H120,2)="TF","TF",IF(LEFT(H120,2)="VF","VF","offen")))</f>
        <v/>
      </c>
      <c r="J120" s="4" t="inlineStr">
        <is>
          <t>keine Bezeichnung</t>
        </is>
      </c>
      <c r="K120" s="20" t="inlineStr">
        <is>
          <t>ja</t>
        </is>
      </c>
      <c r="L120" s="4" t="inlineStr"/>
    </row>
    <row r="121">
      <c r="A121" s="4" t="inlineStr">
        <is>
          <t>DWG-Import F3.2</t>
        </is>
      </c>
      <c r="B121" s="4" t="inlineStr">
        <is>
          <t>DE-SIE-11154 (EG-Zeichnung)</t>
        </is>
      </c>
      <c r="C121" s="4" t="inlineStr">
        <is>
          <t>EG</t>
        </is>
      </c>
      <c r="D121" s="4" t="inlineStr">
        <is>
          <t>60-6</t>
        </is>
      </c>
      <c r="E121" s="4" t="inlineStr"/>
      <c r="F121" s="4" t="inlineStr"/>
      <c r="G121" s="5" t="n">
        <v>34.67</v>
      </c>
      <c r="H121" s="19" t="inlineStr">
        <is>
          <t>offen</t>
        </is>
      </c>
      <c r="I121" s="4">
        <f>IF(LEFT(H121,3)="NUF",LEFT(H121,5),IF(LEFT(H121,2)="TF","TF",IF(LEFT(H121,2)="VF","VF","offen")))</f>
        <v/>
      </c>
      <c r="J121" s="4" t="inlineStr">
        <is>
          <t>keine Bezeichnung</t>
        </is>
      </c>
      <c r="K121" s="20" t="inlineStr">
        <is>
          <t>ja</t>
        </is>
      </c>
      <c r="L121" s="4" t="inlineStr"/>
    </row>
    <row r="122">
      <c r="A122" s="4" t="inlineStr">
        <is>
          <t>DWG-Import F3.2</t>
        </is>
      </c>
      <c r="B122" s="4" t="inlineStr">
        <is>
          <t>DE-SIE-11154 (EG-Zeichnung)</t>
        </is>
      </c>
      <c r="C122" s="4" t="inlineStr">
        <is>
          <t>EG</t>
        </is>
      </c>
      <c r="D122" s="4" t="inlineStr">
        <is>
          <t>52</t>
        </is>
      </c>
      <c r="E122" s="4" t="inlineStr"/>
      <c r="F122" s="4" t="inlineStr"/>
      <c r="G122" s="5" t="n">
        <v>38.49</v>
      </c>
      <c r="H122" s="19" t="inlineStr">
        <is>
          <t>offen</t>
        </is>
      </c>
      <c r="I122" s="4">
        <f>IF(LEFT(H122,3)="NUF",LEFT(H122,5),IF(LEFT(H122,2)="TF","TF",IF(LEFT(H122,2)="VF","VF","offen")))</f>
        <v/>
      </c>
      <c r="J122" s="4" t="inlineStr">
        <is>
          <t>keine Bezeichnung</t>
        </is>
      </c>
      <c r="K122" s="20" t="inlineStr">
        <is>
          <t>ja</t>
        </is>
      </c>
      <c r="L122" s="4" t="inlineStr"/>
    </row>
    <row r="123">
      <c r="A123" s="4" t="inlineStr">
        <is>
          <t>DWG-Import F3.2</t>
        </is>
      </c>
      <c r="B123" s="4" t="inlineStr">
        <is>
          <t>DE-SIE-11154 (EG-Zeichnung)</t>
        </is>
      </c>
      <c r="C123" s="4" t="inlineStr">
        <is>
          <t>EG</t>
        </is>
      </c>
      <c r="D123" s="4" t="inlineStr">
        <is>
          <t>54</t>
        </is>
      </c>
      <c r="E123" s="4" t="inlineStr">
        <is>
          <t>Geschirrspüle</t>
        </is>
      </c>
      <c r="F123" s="4" t="inlineStr"/>
      <c r="G123" s="5" t="n">
        <v>40.55</v>
      </c>
      <c r="H123" s="19" t="inlineStr">
        <is>
          <t>NUF 3.7</t>
        </is>
      </c>
      <c r="I123" s="4">
        <f>IF(LEFT(H123,3)="NUF",LEFT(H123,5),IF(LEFT(H123,2)="TF","TF",IF(LEFT(H123,2)="VF","VF","offen")))</f>
        <v/>
      </c>
      <c r="J123" s="4" t="inlineStr">
        <is>
          <t>Bezeichnung</t>
        </is>
      </c>
      <c r="K123" s="4" t="inlineStr">
        <is>
          <t>nein</t>
        </is>
      </c>
      <c r="L123" s="4" t="inlineStr"/>
    </row>
    <row r="124">
      <c r="A124" s="4" t="inlineStr">
        <is>
          <t>DWG-Import F3.2</t>
        </is>
      </c>
      <c r="B124" s="4" t="inlineStr">
        <is>
          <t>DE-SIE-11154 (EG-Zeichnung)</t>
        </is>
      </c>
      <c r="C124" s="4" t="inlineStr">
        <is>
          <t>EG</t>
        </is>
      </c>
      <c r="D124" s="4" t="inlineStr">
        <is>
          <t>58-7</t>
        </is>
      </c>
      <c r="E124" s="4" t="inlineStr">
        <is>
          <t>Gästeanrichte</t>
        </is>
      </c>
      <c r="F124" s="4" t="inlineStr"/>
      <c r="G124" s="5" t="n">
        <v>6.9</v>
      </c>
      <c r="H124" s="19" t="inlineStr">
        <is>
          <t>NUF 3.7</t>
        </is>
      </c>
      <c r="I124" s="4">
        <f>IF(LEFT(H124,3)="NUF",LEFT(H124,5),IF(LEFT(H124,2)="TF","TF",IF(LEFT(H124,2)="VF","VF","offen")))</f>
        <v/>
      </c>
      <c r="J124" s="4" t="inlineStr">
        <is>
          <t>Bezeichnung</t>
        </is>
      </c>
      <c r="K124" s="4" t="inlineStr">
        <is>
          <t>nein</t>
        </is>
      </c>
      <c r="L124" s="4" t="inlineStr"/>
    </row>
    <row r="125">
      <c r="A125" s="4" t="inlineStr">
        <is>
          <t>DWG-Import F3.2</t>
        </is>
      </c>
      <c r="B125" s="4" t="inlineStr">
        <is>
          <t>DE-SIE-11154 (EG-Zeichnung)</t>
        </is>
      </c>
      <c r="C125" s="4" t="inlineStr">
        <is>
          <t>EG</t>
        </is>
      </c>
      <c r="D125" s="4" t="inlineStr">
        <is>
          <t>51</t>
        </is>
      </c>
      <c r="E125" s="4" t="inlineStr">
        <is>
          <t>Cafeteria / Casino</t>
        </is>
      </c>
      <c r="F125" s="4" t="inlineStr"/>
      <c r="G125" s="5" t="n">
        <v>352.91</v>
      </c>
      <c r="H125" s="19" t="inlineStr">
        <is>
          <t>NUF 1.5</t>
        </is>
      </c>
      <c r="I125" s="4">
        <f>IF(LEFT(H125,3)="NUF",LEFT(H125,5),IF(LEFT(H125,2)="TF","TF",IF(LEFT(H125,2)="VF","VF","offen")))</f>
        <v/>
      </c>
      <c r="J125" s="4" t="inlineStr">
        <is>
          <t>Bezeichnung</t>
        </is>
      </c>
      <c r="K125" s="4" t="inlineStr">
        <is>
          <t>nein</t>
        </is>
      </c>
      <c r="L125" s="4" t="inlineStr"/>
    </row>
    <row r="126">
      <c r="A126" s="4" t="inlineStr">
        <is>
          <t>DWG-Import F3.2</t>
        </is>
      </c>
      <c r="B126" s="4" t="inlineStr">
        <is>
          <t>DE-SIE-11154 (EG-Zeichnung)</t>
        </is>
      </c>
      <c r="C126" s="4" t="inlineStr">
        <is>
          <t>EG</t>
        </is>
      </c>
      <c r="D126" s="4" t="inlineStr">
        <is>
          <t>1-10.1</t>
        </is>
      </c>
      <c r="E126" s="4" t="inlineStr"/>
      <c r="F126" s="4" t="inlineStr"/>
      <c r="G126" s="5" t="n">
        <v>9.56</v>
      </c>
      <c r="H126" s="19" t="inlineStr">
        <is>
          <t>offen</t>
        </is>
      </c>
      <c r="I126" s="4">
        <f>IF(LEFT(H126,3)="NUF",LEFT(H126,5),IF(LEFT(H126,2)="TF","TF",IF(LEFT(H126,2)="VF","VF","offen")))</f>
        <v/>
      </c>
      <c r="J126" s="4" t="inlineStr">
        <is>
          <t>keine Bezeichnung</t>
        </is>
      </c>
      <c r="K126" s="20" t="inlineStr">
        <is>
          <t>ja</t>
        </is>
      </c>
      <c r="L126" s="4" t="inlineStr"/>
    </row>
    <row r="127">
      <c r="A127" s="4" t="inlineStr">
        <is>
          <t>DWG-Import F3.2</t>
        </is>
      </c>
      <c r="B127" s="4" t="inlineStr">
        <is>
          <t>DE-SIE-11154 (EG-Zeichnung)</t>
        </is>
      </c>
      <c r="C127" s="4" t="inlineStr">
        <is>
          <t>EG</t>
        </is>
      </c>
      <c r="D127" s="4" t="inlineStr">
        <is>
          <t>12</t>
        </is>
      </c>
      <c r="E127" s="4" t="inlineStr"/>
      <c r="F127" s="4" t="inlineStr"/>
      <c r="G127" s="5" t="n">
        <v>20.69</v>
      </c>
      <c r="H127" s="19" t="inlineStr">
        <is>
          <t>offen</t>
        </is>
      </c>
      <c r="I127" s="4">
        <f>IF(LEFT(H127,3)="NUF",LEFT(H127,5),IF(LEFT(H127,2)="TF","TF",IF(LEFT(H127,2)="VF","VF","offen")))</f>
        <v/>
      </c>
      <c r="J127" s="4" t="inlineStr">
        <is>
          <t>keine Bezeichnung</t>
        </is>
      </c>
      <c r="K127" s="20" t="inlineStr">
        <is>
          <t>ja</t>
        </is>
      </c>
      <c r="L127" s="4" t="inlineStr"/>
    </row>
    <row r="128">
      <c r="A128" s="4" t="inlineStr">
        <is>
          <t>DWG-Import F3.2</t>
        </is>
      </c>
      <c r="B128" s="4" t="inlineStr">
        <is>
          <t>DE-SIE-11154 (EG-Zeichnung)</t>
        </is>
      </c>
      <c r="C128" s="4" t="inlineStr">
        <is>
          <t>EG</t>
        </is>
      </c>
      <c r="D128" s="4" t="inlineStr">
        <is>
          <t>1-7</t>
        </is>
      </c>
      <c r="E128" s="4" t="inlineStr"/>
      <c r="F128" s="4" t="inlineStr"/>
      <c r="G128" s="5" t="n">
        <v>18.9</v>
      </c>
      <c r="H128" s="19" t="inlineStr">
        <is>
          <t>offen</t>
        </is>
      </c>
      <c r="I128" s="4">
        <f>IF(LEFT(H128,3)="NUF",LEFT(H128,5),IF(LEFT(H128,2)="TF","TF",IF(LEFT(H128,2)="VF","VF","offen")))</f>
        <v/>
      </c>
      <c r="J128" s="4" t="inlineStr">
        <is>
          <t>keine Bezeichnung</t>
        </is>
      </c>
      <c r="K128" s="20" t="inlineStr">
        <is>
          <t>ja</t>
        </is>
      </c>
      <c r="L128" s="4" t="inlineStr"/>
    </row>
    <row r="129">
      <c r="A129" s="4" t="inlineStr">
        <is>
          <t>DWG-Import F3.2</t>
        </is>
      </c>
      <c r="B129" s="4" t="inlineStr">
        <is>
          <t>DE-SIE-11154 (EG-Zeichnung)</t>
        </is>
      </c>
      <c r="C129" s="4" t="inlineStr">
        <is>
          <t>EG</t>
        </is>
      </c>
      <c r="D129" s="4" t="inlineStr">
        <is>
          <t>1-10</t>
        </is>
      </c>
      <c r="E129" s="4" t="inlineStr">
        <is>
          <t>Empfang / Foyer</t>
        </is>
      </c>
      <c r="F129" s="4" t="inlineStr"/>
      <c r="G129" s="5" t="n">
        <v>147.67</v>
      </c>
      <c r="H129" s="19" t="inlineStr">
        <is>
          <t>VF 9.1</t>
        </is>
      </c>
      <c r="I129" s="4">
        <f>IF(LEFT(H129,3)="NUF",LEFT(H129,5),IF(LEFT(H129,2)="TF","TF",IF(LEFT(H129,2)="VF","VF","offen")))</f>
        <v/>
      </c>
      <c r="J129" s="4" t="inlineStr">
        <is>
          <t>Bezeichnung</t>
        </is>
      </c>
      <c r="K129" s="20" t="inlineStr">
        <is>
          <t>ja</t>
        </is>
      </c>
      <c r="L129" s="4" t="inlineStr"/>
    </row>
    <row r="130">
      <c r="A130" s="4" t="inlineStr">
        <is>
          <t>DWG-Import F3.2</t>
        </is>
      </c>
      <c r="B130" s="4" t="inlineStr">
        <is>
          <t>DE-SIE-11154 (EG-Zeichnung)</t>
        </is>
      </c>
      <c r="C130" s="4" t="inlineStr">
        <is>
          <t>EG</t>
        </is>
      </c>
      <c r="D130" s="4" t="inlineStr">
        <is>
          <t>1-9</t>
        </is>
      </c>
      <c r="E130" s="4" t="inlineStr">
        <is>
          <t>Technik ELV</t>
        </is>
      </c>
      <c r="F130" s="4" t="inlineStr"/>
      <c r="G130" s="5" t="n">
        <v>7.2</v>
      </c>
      <c r="H130" s="19" t="inlineStr">
        <is>
          <t>TF 8</t>
        </is>
      </c>
      <c r="I130" s="4">
        <f>IF(LEFT(H130,3)="NUF",LEFT(H130,5),IF(LEFT(H130,2)="TF","TF",IF(LEFT(H130,2)="VF","VF","offen")))</f>
        <v/>
      </c>
      <c r="J130" s="4" t="inlineStr">
        <is>
          <t>Bezeichnung</t>
        </is>
      </c>
      <c r="K130" s="4" t="inlineStr">
        <is>
          <t>nein</t>
        </is>
      </c>
      <c r="L130" s="4" t="inlineStr"/>
    </row>
    <row r="131">
      <c r="A131" s="4" t="inlineStr">
        <is>
          <t>DWG-Import F3.2</t>
        </is>
      </c>
      <c r="B131" s="4" t="inlineStr">
        <is>
          <t>DE-SIE-11154 (EG-Zeichnung)</t>
        </is>
      </c>
      <c r="C131" s="4" t="inlineStr">
        <is>
          <t>EG</t>
        </is>
      </c>
      <c r="D131" s="4" t="inlineStr">
        <is>
          <t>1-1</t>
        </is>
      </c>
      <c r="E131" s="4" t="inlineStr">
        <is>
          <t>FM-Technik</t>
        </is>
      </c>
      <c r="F131" s="4" t="inlineStr"/>
      <c r="G131" s="5" t="n">
        <v>18.72</v>
      </c>
      <c r="H131" s="19" t="inlineStr">
        <is>
          <t>TF 8</t>
        </is>
      </c>
      <c r="I131" s="4">
        <f>IF(LEFT(H131,3)="NUF",LEFT(H131,5),IF(LEFT(H131,2)="TF","TF",IF(LEFT(H131,2)="VF","VF","offen")))</f>
        <v/>
      </c>
      <c r="J131" s="4" t="inlineStr">
        <is>
          <t>Bezeichnung</t>
        </is>
      </c>
      <c r="K131" s="20" t="inlineStr">
        <is>
          <t>ja</t>
        </is>
      </c>
      <c r="L131" s="4" t="inlineStr"/>
    </row>
    <row r="132">
      <c r="A132" s="4" t="inlineStr">
        <is>
          <t>DWG-Import F3.2</t>
        </is>
      </c>
      <c r="B132" s="4" t="inlineStr">
        <is>
          <t>DE-SIE-11154 (EG-Zeichnung)</t>
        </is>
      </c>
      <c r="C132" s="4" t="inlineStr">
        <is>
          <t>EG</t>
        </is>
      </c>
      <c r="D132" s="4" t="inlineStr">
        <is>
          <t>1-12</t>
        </is>
      </c>
      <c r="E132" s="4" t="inlineStr"/>
      <c r="F132" s="4" t="inlineStr"/>
      <c r="G132" s="5" t="n">
        <v>34.37</v>
      </c>
      <c r="H132" s="19" t="inlineStr">
        <is>
          <t>offen</t>
        </is>
      </c>
      <c r="I132" s="4">
        <f>IF(LEFT(H132,3)="NUF",LEFT(H132,5),IF(LEFT(H132,2)="TF","TF",IF(LEFT(H132,2)="VF","VF","offen")))</f>
        <v/>
      </c>
      <c r="J132" s="4" t="inlineStr">
        <is>
          <t>keine Bezeichnung</t>
        </is>
      </c>
      <c r="K132" s="20" t="inlineStr">
        <is>
          <t>ja</t>
        </is>
      </c>
      <c r="L132" s="4" t="inlineStr"/>
    </row>
    <row r="133">
      <c r="A133" s="4" t="inlineStr">
        <is>
          <t>DWG-Import F3.2</t>
        </is>
      </c>
      <c r="B133" s="4" t="inlineStr">
        <is>
          <t>DE-SIE-11154 (EG-Zeichnung)</t>
        </is>
      </c>
      <c r="C133" s="4" t="inlineStr">
        <is>
          <t>EG</t>
        </is>
      </c>
      <c r="D133" s="4" t="inlineStr">
        <is>
          <t>1-3</t>
        </is>
      </c>
      <c r="E133" s="4" t="inlineStr"/>
      <c r="F133" s="4" t="inlineStr"/>
      <c r="G133" s="5" t="n">
        <v>21.68</v>
      </c>
      <c r="H133" s="19" t="inlineStr">
        <is>
          <t>offen</t>
        </is>
      </c>
      <c r="I133" s="4">
        <f>IF(LEFT(H133,3)="NUF",LEFT(H133,5),IF(LEFT(H133,2)="TF","TF",IF(LEFT(H133,2)="VF","VF","offen")))</f>
        <v/>
      </c>
      <c r="J133" s="4" t="inlineStr">
        <is>
          <t>keine Bezeichnung</t>
        </is>
      </c>
      <c r="K133" s="20" t="inlineStr">
        <is>
          <t>ja</t>
        </is>
      </c>
      <c r="L133" s="4" t="inlineStr"/>
    </row>
    <row r="134">
      <c r="A134" s="4" t="inlineStr">
        <is>
          <t>DWG-Import F3.2</t>
        </is>
      </c>
      <c r="B134" s="4" t="inlineStr">
        <is>
          <t>DE-SIE-11154 (EG-Zeichnung)</t>
        </is>
      </c>
      <c r="C134" s="4" t="inlineStr">
        <is>
          <t>EG</t>
        </is>
      </c>
      <c r="D134" s="4" t="inlineStr">
        <is>
          <t>1-3.1</t>
        </is>
      </c>
      <c r="E134" s="4" t="inlineStr"/>
      <c r="F134" s="4" t="inlineStr"/>
      <c r="G134" s="5" t="n">
        <v>3.8</v>
      </c>
      <c r="H134" s="19" t="inlineStr">
        <is>
          <t>offen</t>
        </is>
      </c>
      <c r="I134" s="4">
        <f>IF(LEFT(H134,3)="NUF",LEFT(H134,5),IF(LEFT(H134,2)="TF","TF",IF(LEFT(H134,2)="VF","VF","offen")))</f>
        <v/>
      </c>
      <c r="J134" s="4" t="inlineStr">
        <is>
          <t>keine Bezeichnung</t>
        </is>
      </c>
      <c r="K134" s="20" t="inlineStr">
        <is>
          <t>ja</t>
        </is>
      </c>
      <c r="L134" s="4" t="inlineStr"/>
    </row>
    <row r="135">
      <c r="A135" s="4" t="inlineStr">
        <is>
          <t>DWG-Import F3.2</t>
        </is>
      </c>
      <c r="B135" s="4" t="inlineStr">
        <is>
          <t>DE-SIE-11154 (EG-Zeichnung)</t>
        </is>
      </c>
      <c r="C135" s="4" t="inlineStr">
        <is>
          <t>EG</t>
        </is>
      </c>
      <c r="D135" s="4" t="inlineStr">
        <is>
          <t>1-3.2</t>
        </is>
      </c>
      <c r="E135" s="4" t="inlineStr"/>
      <c r="F135" s="4" t="inlineStr"/>
      <c r="G135" s="5" t="n">
        <v>3.29</v>
      </c>
      <c r="H135" s="19" t="inlineStr">
        <is>
          <t>offen</t>
        </is>
      </c>
      <c r="I135" s="4">
        <f>IF(LEFT(H135,3)="NUF",LEFT(H135,5),IF(LEFT(H135,2)="TF","TF",IF(LEFT(H135,2)="VF","VF","offen")))</f>
        <v/>
      </c>
      <c r="J135" s="4" t="inlineStr">
        <is>
          <t>keine Bezeichnung</t>
        </is>
      </c>
      <c r="K135" s="20" t="inlineStr">
        <is>
          <t>ja</t>
        </is>
      </c>
      <c r="L135" s="4" t="inlineStr"/>
    </row>
    <row r="136">
      <c r="A136" s="4" t="inlineStr">
        <is>
          <t>DWG-Import F3.2</t>
        </is>
      </c>
      <c r="B136" s="4" t="inlineStr">
        <is>
          <t>DE-SIE-11154 (EG-Zeichnung)</t>
        </is>
      </c>
      <c r="C136" s="4" t="inlineStr">
        <is>
          <t>EG</t>
        </is>
      </c>
      <c r="D136" s="4" t="inlineStr">
        <is>
          <t>1-4</t>
        </is>
      </c>
      <c r="E136" s="4" t="inlineStr"/>
      <c r="F136" s="4" t="inlineStr"/>
      <c r="G136" s="5" t="n">
        <v>5.06</v>
      </c>
      <c r="H136" s="19" t="inlineStr">
        <is>
          <t>offen</t>
        </is>
      </c>
      <c r="I136" s="4">
        <f>IF(LEFT(H136,3)="NUF",LEFT(H136,5),IF(LEFT(H136,2)="TF","TF",IF(LEFT(H136,2)="VF","VF","offen")))</f>
        <v/>
      </c>
      <c r="J136" s="4" t="inlineStr">
        <is>
          <t>keine Bezeichnung</t>
        </is>
      </c>
      <c r="K136" s="20" t="inlineStr">
        <is>
          <t>ja</t>
        </is>
      </c>
      <c r="L136" s="4" t="inlineStr"/>
    </row>
    <row r="137">
      <c r="A137" s="4" t="inlineStr">
        <is>
          <t>DWG-Import F3.2</t>
        </is>
      </c>
      <c r="B137" s="4" t="inlineStr">
        <is>
          <t>DE-SIE-11154 (EG-Zeichnung)</t>
        </is>
      </c>
      <c r="C137" s="4" t="inlineStr">
        <is>
          <t>EG</t>
        </is>
      </c>
      <c r="D137" s="4" t="inlineStr">
        <is>
          <t>1-4.1</t>
        </is>
      </c>
      <c r="E137" s="4" t="inlineStr"/>
      <c r="F137" s="4" t="inlineStr"/>
      <c r="G137" s="5" t="n">
        <v>2.03</v>
      </c>
      <c r="H137" s="19" t="inlineStr">
        <is>
          <t>offen</t>
        </is>
      </c>
      <c r="I137" s="4">
        <f>IF(LEFT(H137,3)="NUF",LEFT(H137,5),IF(LEFT(H137,2)="TF","TF",IF(LEFT(H137,2)="VF","VF","offen")))</f>
        <v/>
      </c>
      <c r="J137" s="4" t="inlineStr">
        <is>
          <t>keine Bezeichnung</t>
        </is>
      </c>
      <c r="K137" s="20" t="inlineStr">
        <is>
          <t>ja</t>
        </is>
      </c>
      <c r="L137" s="4" t="inlineStr"/>
    </row>
    <row r="138">
      <c r="A138" s="4" t="inlineStr">
        <is>
          <t>DWG-Import F3.2</t>
        </is>
      </c>
      <c r="B138" s="4" t="inlineStr">
        <is>
          <t>DE-SIE-11154 (EG-Zeichnung)</t>
        </is>
      </c>
      <c r="C138" s="4" t="inlineStr">
        <is>
          <t>EG</t>
        </is>
      </c>
      <c r="D138" s="4" t="inlineStr">
        <is>
          <t>1-5.2</t>
        </is>
      </c>
      <c r="E138" s="4" t="inlineStr">
        <is>
          <t>Beh. WC</t>
        </is>
      </c>
      <c r="F138" s="4" t="inlineStr"/>
      <c r="G138" s="5" t="n">
        <v>4</v>
      </c>
      <c r="H138" s="19" t="inlineStr">
        <is>
          <t>NUF 7.1</t>
        </is>
      </c>
      <c r="I138" s="4">
        <f>IF(LEFT(H138,3)="NUF",LEFT(H138,5),IF(LEFT(H138,2)="TF","TF",IF(LEFT(H138,2)="VF","VF","offen")))</f>
        <v/>
      </c>
      <c r="J138" s="4" t="inlineStr">
        <is>
          <t>Bezeichnung</t>
        </is>
      </c>
      <c r="K138" s="4" t="inlineStr">
        <is>
          <t>nein</t>
        </is>
      </c>
      <c r="L138" s="4" t="inlineStr"/>
    </row>
    <row r="139">
      <c r="A139" s="4" t="inlineStr">
        <is>
          <t>DWG-Import F3.2</t>
        </is>
      </c>
      <c r="B139" s="4" t="inlineStr">
        <is>
          <t>DE-SIE-11154 (EG-Zeichnung)</t>
        </is>
      </c>
      <c r="C139" s="4" t="inlineStr">
        <is>
          <t>EG</t>
        </is>
      </c>
      <c r="D139" s="4" t="inlineStr">
        <is>
          <t>1-6</t>
        </is>
      </c>
      <c r="E139" s="4" t="inlineStr"/>
      <c r="F139" s="4" t="inlineStr"/>
      <c r="G139" s="5" t="n">
        <v>10</v>
      </c>
      <c r="H139" s="19" t="inlineStr">
        <is>
          <t>offen</t>
        </is>
      </c>
      <c r="I139" s="4">
        <f>IF(LEFT(H139,3)="NUF",LEFT(H139,5),IF(LEFT(H139,2)="TF","TF",IF(LEFT(H139,2)="VF","VF","offen")))</f>
        <v/>
      </c>
      <c r="J139" s="4" t="inlineStr">
        <is>
          <t>keine Bezeichnung</t>
        </is>
      </c>
      <c r="K139" s="20" t="inlineStr">
        <is>
          <t>ja</t>
        </is>
      </c>
      <c r="L139" s="4" t="inlineStr"/>
    </row>
    <row r="140">
      <c r="A140" s="4" t="inlineStr">
        <is>
          <t>DWG-Import F3.2</t>
        </is>
      </c>
      <c r="B140" s="4" t="inlineStr">
        <is>
          <t>DE-SIE-11154 (EG-Zeichnung)</t>
        </is>
      </c>
      <c r="C140" s="4" t="inlineStr">
        <is>
          <t>EG</t>
        </is>
      </c>
      <c r="D140" s="4" t="inlineStr">
        <is>
          <t>2</t>
        </is>
      </c>
      <c r="E140" s="4" t="inlineStr">
        <is>
          <t>Werksarzt Sprechzimmer</t>
        </is>
      </c>
      <c r="F140" s="4" t="inlineStr"/>
      <c r="G140" s="5" t="n">
        <v>18.87</v>
      </c>
      <c r="H140" s="19" t="inlineStr">
        <is>
          <t>NUF 6.1</t>
        </is>
      </c>
      <c r="I140" s="4">
        <f>IF(LEFT(H140,3)="NUF",LEFT(H140,5),IF(LEFT(H140,2)="TF","TF",IF(LEFT(H140,2)="VF","VF","offen")))</f>
        <v/>
      </c>
      <c r="J140" s="4" t="inlineStr">
        <is>
          <t>Bezeichnung</t>
        </is>
      </c>
      <c r="K140" s="4" t="inlineStr">
        <is>
          <t>nein</t>
        </is>
      </c>
      <c r="L140" s="4" t="inlineStr"/>
    </row>
    <row r="141">
      <c r="A141" s="4" t="inlineStr">
        <is>
          <t>DWG-Import F3.2</t>
        </is>
      </c>
      <c r="B141" s="4" t="inlineStr">
        <is>
          <t>DE-SIE-11154 (EG-Zeichnung)</t>
        </is>
      </c>
      <c r="C141" s="4" t="inlineStr">
        <is>
          <t>EG</t>
        </is>
      </c>
      <c r="D141" s="4" t="inlineStr">
        <is>
          <t>3</t>
        </is>
      </c>
      <c r="E141" s="4" t="inlineStr">
        <is>
          <t>Werksarzt</t>
        </is>
      </c>
      <c r="F141" s="4" t="inlineStr"/>
      <c r="G141" s="5" t="n">
        <v>28.3</v>
      </c>
      <c r="H141" s="19" t="inlineStr">
        <is>
          <t>NUF 6.1</t>
        </is>
      </c>
      <c r="I141" s="4">
        <f>IF(LEFT(H141,3)="NUF",LEFT(H141,5),IF(LEFT(H141,2)="TF","TF",IF(LEFT(H141,2)="VF","VF","offen")))</f>
        <v/>
      </c>
      <c r="J141" s="4" t="inlineStr">
        <is>
          <t>Bezeichnung</t>
        </is>
      </c>
      <c r="K141" s="4" t="inlineStr">
        <is>
          <t>nein</t>
        </is>
      </c>
      <c r="L141" s="4" t="inlineStr"/>
    </row>
    <row r="142">
      <c r="A142" s="4" t="inlineStr">
        <is>
          <t>DWG-Import F3.2</t>
        </is>
      </c>
      <c r="B142" s="4" t="inlineStr">
        <is>
          <t>DE-SIE-11154 (EG-Zeichnung)</t>
        </is>
      </c>
      <c r="C142" s="4" t="inlineStr">
        <is>
          <t>EG</t>
        </is>
      </c>
      <c r="D142" s="4" t="inlineStr">
        <is>
          <t>1-5</t>
        </is>
      </c>
      <c r="E142" s="4" t="inlineStr"/>
      <c r="F142" s="4" t="inlineStr"/>
      <c r="G142" s="5" t="n">
        <v>6.42</v>
      </c>
      <c r="H142" s="19" t="inlineStr">
        <is>
          <t>offen</t>
        </is>
      </c>
      <c r="I142" s="4">
        <f>IF(LEFT(H142,3)="NUF",LEFT(H142,5),IF(LEFT(H142,2)="TF","TF",IF(LEFT(H142,2)="VF","VF","offen")))</f>
        <v/>
      </c>
      <c r="J142" s="4" t="inlineStr">
        <is>
          <t>keine Bezeichnung</t>
        </is>
      </c>
      <c r="K142" s="20" t="inlineStr">
        <is>
          <t>ja</t>
        </is>
      </c>
      <c r="L142" s="4" t="inlineStr"/>
    </row>
    <row r="143">
      <c r="A143" s="4" t="inlineStr">
        <is>
          <t>DWG-Import F3.2</t>
        </is>
      </c>
      <c r="B143" s="4" t="inlineStr">
        <is>
          <t>DE-SIE-11154 (EG-Zeichnung)</t>
        </is>
      </c>
      <c r="C143" s="4" t="inlineStr">
        <is>
          <t>EG</t>
        </is>
      </c>
      <c r="D143" s="4" t="inlineStr">
        <is>
          <t>1</t>
        </is>
      </c>
      <c r="E143" s="4" t="inlineStr"/>
      <c r="F143" s="4" t="inlineStr"/>
      <c r="G143" s="5" t="n">
        <v>15.76</v>
      </c>
      <c r="H143" s="19" t="inlineStr">
        <is>
          <t>offen</t>
        </is>
      </c>
      <c r="I143" s="4">
        <f>IF(LEFT(H143,3)="NUF",LEFT(H143,5),IF(LEFT(H143,2)="TF","TF",IF(LEFT(H143,2)="VF","VF","offen")))</f>
        <v/>
      </c>
      <c r="J143" s="4" t="inlineStr">
        <is>
          <t>keine Bezeichnung</t>
        </is>
      </c>
      <c r="K143" s="20" t="inlineStr">
        <is>
          <t>ja</t>
        </is>
      </c>
      <c r="L143" s="4" t="inlineStr"/>
    </row>
    <row r="144">
      <c r="A144" s="4" t="inlineStr">
        <is>
          <t>DWG-Import F3.2</t>
        </is>
      </c>
      <c r="B144" s="4" t="inlineStr">
        <is>
          <t>DE-SIE-11154 (EG-Zeichnung)</t>
        </is>
      </c>
      <c r="C144" s="4" t="inlineStr">
        <is>
          <t>EG</t>
        </is>
      </c>
      <c r="D144" s="4" t="inlineStr">
        <is>
          <t>6</t>
        </is>
      </c>
      <c r="E144" s="4" t="inlineStr"/>
      <c r="F144" s="4" t="inlineStr"/>
      <c r="G144" s="5" t="n">
        <v>28.3</v>
      </c>
      <c r="H144" s="19" t="inlineStr">
        <is>
          <t>offen</t>
        </is>
      </c>
      <c r="I144" s="4">
        <f>IF(LEFT(H144,3)="NUF",LEFT(H144,5),IF(LEFT(H144,2)="TF","TF",IF(LEFT(H144,2)="VF","VF","offen")))</f>
        <v/>
      </c>
      <c r="J144" s="4" t="inlineStr">
        <is>
          <t>keine Bezeichnung</t>
        </is>
      </c>
      <c r="K144" s="20" t="inlineStr">
        <is>
          <t>ja</t>
        </is>
      </c>
      <c r="L144" s="4" t="inlineStr"/>
    </row>
    <row r="145">
      <c r="A145" s="4" t="inlineStr">
        <is>
          <t>DWG-Import F3.2</t>
        </is>
      </c>
      <c r="B145" s="4" t="inlineStr">
        <is>
          <t>DE-SIE-11154 (EG-Zeichnung)</t>
        </is>
      </c>
      <c r="C145" s="4" t="inlineStr">
        <is>
          <t>EG</t>
        </is>
      </c>
      <c r="D145" s="4" t="inlineStr">
        <is>
          <t>5</t>
        </is>
      </c>
      <c r="E145" s="4" t="inlineStr"/>
      <c r="F145" s="4" t="inlineStr"/>
      <c r="G145" s="5" t="n">
        <v>28.56</v>
      </c>
      <c r="H145" s="19" t="inlineStr">
        <is>
          <t>offen</t>
        </is>
      </c>
      <c r="I145" s="4">
        <f>IF(LEFT(H145,3)="NUF",LEFT(H145,5),IF(LEFT(H145,2)="TF","TF",IF(LEFT(H145,2)="VF","VF","offen")))</f>
        <v/>
      </c>
      <c r="J145" s="4" t="inlineStr">
        <is>
          <t>keine Bezeichnung</t>
        </is>
      </c>
      <c r="K145" s="20" t="inlineStr">
        <is>
          <t>ja</t>
        </is>
      </c>
      <c r="L145" s="4" t="inlineStr"/>
    </row>
    <row r="146">
      <c r="A146" s="4" t="inlineStr">
        <is>
          <t>DWG-Import F3.2</t>
        </is>
      </c>
      <c r="B146" s="4" t="inlineStr">
        <is>
          <t>DE-SIE-11154 (EG-Zeichnung)</t>
        </is>
      </c>
      <c r="C146" s="4" t="inlineStr">
        <is>
          <t>EG</t>
        </is>
      </c>
      <c r="D146" s="4" t="inlineStr">
        <is>
          <t>4</t>
        </is>
      </c>
      <c r="E146" s="4" t="inlineStr"/>
      <c r="F146" s="4" t="inlineStr"/>
      <c r="G146" s="5" t="n">
        <v>18.61</v>
      </c>
      <c r="H146" s="19" t="inlineStr">
        <is>
          <t>offen</t>
        </is>
      </c>
      <c r="I146" s="4">
        <f>IF(LEFT(H146,3)="NUF",LEFT(H146,5),IF(LEFT(H146,2)="TF","TF",IF(LEFT(H146,2)="VF","VF","offen")))</f>
        <v/>
      </c>
      <c r="J146" s="4" t="inlineStr">
        <is>
          <t>keine Bezeichnung</t>
        </is>
      </c>
      <c r="K146" s="20" t="inlineStr">
        <is>
          <t>ja</t>
        </is>
      </c>
      <c r="L146" s="4" t="inlineStr"/>
    </row>
    <row r="147">
      <c r="A147" s="4" t="inlineStr">
        <is>
          <t>DWG-Import F3.2</t>
        </is>
      </c>
      <c r="B147" s="4" t="inlineStr">
        <is>
          <t>DE-SIE-11154 (EG-Zeichnung)</t>
        </is>
      </c>
      <c r="C147" s="4" t="inlineStr">
        <is>
          <t>EG</t>
        </is>
      </c>
      <c r="D147" s="4" t="inlineStr">
        <is>
          <t>1-11</t>
        </is>
      </c>
      <c r="E147" s="4" t="inlineStr"/>
      <c r="F147" s="4" t="inlineStr"/>
      <c r="G147" s="5" t="n">
        <v>55.49</v>
      </c>
      <c r="H147" s="19" t="inlineStr">
        <is>
          <t>offen</t>
        </is>
      </c>
      <c r="I147" s="4">
        <f>IF(LEFT(H147,3)="NUF",LEFT(H147,5),IF(LEFT(H147,2)="TF","TF",IF(LEFT(H147,2)="VF","VF","offen")))</f>
        <v/>
      </c>
      <c r="J147" s="4" t="inlineStr">
        <is>
          <t>keine Bezeichnung</t>
        </is>
      </c>
      <c r="K147" s="20" t="inlineStr">
        <is>
          <t>ja</t>
        </is>
      </c>
      <c r="L147" s="4" t="inlineStr"/>
    </row>
    <row r="148">
      <c r="A148" s="4" t="inlineStr">
        <is>
          <t>DWG-Import F3.2</t>
        </is>
      </c>
      <c r="B148" s="4" t="inlineStr">
        <is>
          <t>DE-SIE-11154 (EG-Zeichnung)</t>
        </is>
      </c>
      <c r="C148" s="4" t="inlineStr">
        <is>
          <t>EG</t>
        </is>
      </c>
      <c r="D148" s="4" t="inlineStr">
        <is>
          <t>8</t>
        </is>
      </c>
      <c r="E148" s="4" t="inlineStr"/>
      <c r="F148" s="4" t="inlineStr"/>
      <c r="G148" s="5" t="n">
        <v>9.44</v>
      </c>
      <c r="H148" s="19" t="inlineStr">
        <is>
          <t>offen</t>
        </is>
      </c>
      <c r="I148" s="4">
        <f>IF(LEFT(H148,3)="NUF",LEFT(H148,5),IF(LEFT(H148,2)="TF","TF",IF(LEFT(H148,2)="VF","VF","offen")))</f>
        <v/>
      </c>
      <c r="J148" s="4" t="inlineStr">
        <is>
          <t>keine Bezeichnung</t>
        </is>
      </c>
      <c r="K148" s="20" t="inlineStr">
        <is>
          <t>ja</t>
        </is>
      </c>
      <c r="L148" s="4" t="inlineStr"/>
    </row>
    <row r="149">
      <c r="A149" s="4" t="inlineStr">
        <is>
          <t>DWG-Import F3.2</t>
        </is>
      </c>
      <c r="B149" s="4" t="inlineStr">
        <is>
          <t>DE-SIE-11154 (EG-Zeichnung)</t>
        </is>
      </c>
      <c r="C149" s="4" t="inlineStr">
        <is>
          <t>EG</t>
        </is>
      </c>
      <c r="D149" s="4" t="inlineStr">
        <is>
          <t>8-1</t>
        </is>
      </c>
      <c r="E149" s="4" t="inlineStr"/>
      <c r="F149" s="4" t="inlineStr"/>
      <c r="G149" s="5" t="n">
        <v>9.44</v>
      </c>
      <c r="H149" s="19" t="inlineStr">
        <is>
          <t>offen</t>
        </is>
      </c>
      <c r="I149" s="4">
        <f>IF(LEFT(H149,3)="NUF",LEFT(H149,5),IF(LEFT(H149,2)="TF","TF",IF(LEFT(H149,2)="VF","VF","offen")))</f>
        <v/>
      </c>
      <c r="J149" s="4" t="inlineStr">
        <is>
          <t>keine Bezeichnung</t>
        </is>
      </c>
      <c r="K149" s="20" t="inlineStr">
        <is>
          <t>ja</t>
        </is>
      </c>
      <c r="L149" s="4" t="inlineStr"/>
    </row>
    <row r="150">
      <c r="A150" s="4" t="inlineStr">
        <is>
          <t>DWG-Import F3.2</t>
        </is>
      </c>
      <c r="B150" s="4" t="inlineStr">
        <is>
          <t>DE-SIE-11154 (EG-Zeichnung)</t>
        </is>
      </c>
      <c r="C150" s="4" t="inlineStr">
        <is>
          <t>EG</t>
        </is>
      </c>
      <c r="D150" s="4" t="inlineStr">
        <is>
          <t>7</t>
        </is>
      </c>
      <c r="E150" s="4" t="inlineStr">
        <is>
          <t>Büro(Plank/Archiv/Kop.)</t>
        </is>
      </c>
      <c r="F150" s="4" t="inlineStr"/>
      <c r="G150" s="5" t="n">
        <v>18.61</v>
      </c>
      <c r="H150" s="19" t="inlineStr">
        <is>
          <t>NUF 2.1</t>
        </is>
      </c>
      <c r="I150" s="4">
        <f>IF(LEFT(H150,3)="NUF",LEFT(H150,5),IF(LEFT(H150,2)="TF","TF",IF(LEFT(H150,2)="VF","VF","offen")))</f>
        <v/>
      </c>
      <c r="J150" s="4" t="inlineStr">
        <is>
          <t>Bezeichnung</t>
        </is>
      </c>
      <c r="K150" s="20" t="inlineStr">
        <is>
          <t>ja</t>
        </is>
      </c>
      <c r="L150" s="4" t="inlineStr"/>
    </row>
    <row r="151">
      <c r="A151" s="4" t="inlineStr">
        <is>
          <t>DWG-Import F3.2</t>
        </is>
      </c>
      <c r="B151" s="4" t="inlineStr">
        <is>
          <t>DE-SIE-11154 (EG-Zeichnung)</t>
        </is>
      </c>
      <c r="C151" s="4" t="inlineStr">
        <is>
          <t>EG</t>
        </is>
      </c>
      <c r="D151" s="4" t="inlineStr">
        <is>
          <t>9</t>
        </is>
      </c>
      <c r="E151" s="4" t="inlineStr"/>
      <c r="F151" s="4" t="inlineStr"/>
      <c r="G151" s="5" t="n">
        <v>18.87</v>
      </c>
      <c r="H151" s="19" t="inlineStr">
        <is>
          <t>offen</t>
        </is>
      </c>
      <c r="I151" s="4">
        <f>IF(LEFT(H151,3)="NUF",LEFT(H151,5),IF(LEFT(H151,2)="TF","TF",IF(LEFT(H151,2)="VF","VF","offen")))</f>
        <v/>
      </c>
      <c r="J151" s="4" t="inlineStr">
        <is>
          <t>keine Bezeichnung</t>
        </is>
      </c>
      <c r="K151" s="20" t="inlineStr">
        <is>
          <t>ja</t>
        </is>
      </c>
      <c r="L151" s="4" t="inlineStr"/>
    </row>
    <row r="152">
      <c r="A152" s="4" t="inlineStr">
        <is>
          <t>DWG-Import F3.2</t>
        </is>
      </c>
      <c r="B152" s="4" t="inlineStr">
        <is>
          <t>DE-SIE-11154 (EG-Zeichnung)</t>
        </is>
      </c>
      <c r="C152" s="4" t="inlineStr">
        <is>
          <t>EG</t>
        </is>
      </c>
      <c r="D152" s="4" t="inlineStr">
        <is>
          <t>11</t>
        </is>
      </c>
      <c r="E152" s="4" t="inlineStr"/>
      <c r="F152" s="4" t="inlineStr"/>
      <c r="G152" s="5" t="n">
        <v>18.61</v>
      </c>
      <c r="H152" s="19" t="inlineStr">
        <is>
          <t>offen</t>
        </is>
      </c>
      <c r="I152" s="4">
        <f>IF(LEFT(H152,3)="NUF",LEFT(H152,5),IF(LEFT(H152,2)="TF","TF",IF(LEFT(H152,2)="VF","VF","offen")))</f>
        <v/>
      </c>
      <c r="J152" s="4" t="inlineStr">
        <is>
          <t>keine Bezeichnung</t>
        </is>
      </c>
      <c r="K152" s="20" t="inlineStr">
        <is>
          <t>ja</t>
        </is>
      </c>
      <c r="L152" s="4" t="inlineStr"/>
    </row>
    <row r="153">
      <c r="A153" s="4" t="inlineStr">
        <is>
          <t>DWG-Import F3.2</t>
        </is>
      </c>
      <c r="B153" s="4" t="inlineStr">
        <is>
          <t>DE-SIE-11154 (EG-Zeichnung)</t>
        </is>
      </c>
      <c r="C153" s="4" t="inlineStr">
        <is>
          <t>EG</t>
        </is>
      </c>
      <c r="D153" s="4" t="inlineStr">
        <is>
          <t>10</t>
        </is>
      </c>
      <c r="E153" s="4" t="inlineStr"/>
      <c r="F153" s="4" t="inlineStr"/>
      <c r="G153" s="5" t="n">
        <v>18.87</v>
      </c>
      <c r="H153" s="19" t="inlineStr">
        <is>
          <t>offen</t>
        </is>
      </c>
      <c r="I153" s="4">
        <f>IF(LEFT(H153,3)="NUF",LEFT(H153,5),IF(LEFT(H153,2)="TF","TF",IF(LEFT(H153,2)="VF","VF","offen")))</f>
        <v/>
      </c>
      <c r="J153" s="4" t="inlineStr">
        <is>
          <t>keine Bezeichnung</t>
        </is>
      </c>
      <c r="K153" s="20" t="inlineStr">
        <is>
          <t>ja</t>
        </is>
      </c>
      <c r="L153" s="4" t="inlineStr"/>
    </row>
  </sheetData>
  <autoFilter ref="A1:L153"/>
  <dataValidations count="1">
    <dataValidation sqref="H2:H153" showDropDown="0" showInputMessage="0" showErrorMessage="0" allowBlank="0" type="list">
      <formula1>='DIN277-Katalog'!$A$2:$A$26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21" t="inlineStr">
        <is>
          <t>Code</t>
        </is>
      </c>
      <c r="B1" s="21" t="inlineStr">
        <is>
          <t>Bezeichnung (DIN 277:2021, Auszug)</t>
        </is>
      </c>
    </row>
    <row r="2">
      <c r="A2" s="4" t="inlineStr">
        <is>
          <t>NUF 1.1</t>
        </is>
      </c>
      <c r="B2" s="4" t="inlineStr">
        <is>
          <t>Wohnräume</t>
        </is>
      </c>
    </row>
    <row r="3">
      <c r="A3" s="4" t="inlineStr">
        <is>
          <t>NUF 1.2</t>
        </is>
      </c>
      <c r="B3" s="4" t="inlineStr">
        <is>
          <t>Gemeinschaftsräume</t>
        </is>
      </c>
    </row>
    <row r="4">
      <c r="A4" s="4" t="inlineStr">
        <is>
          <t>NUF 1.3</t>
        </is>
      </c>
      <c r="B4" s="4" t="inlineStr">
        <is>
          <t>Pausenräume</t>
        </is>
      </c>
    </row>
    <row r="5">
      <c r="A5" s="4" t="inlineStr">
        <is>
          <t>NUF 1.4</t>
        </is>
      </c>
      <c r="B5" s="4" t="inlineStr">
        <is>
          <t>Warteräume</t>
        </is>
      </c>
    </row>
    <row r="6">
      <c r="A6" s="4" t="inlineStr">
        <is>
          <t>NUF 1.5</t>
        </is>
      </c>
      <c r="B6" s="4" t="inlineStr">
        <is>
          <t>Speiseräume</t>
        </is>
      </c>
    </row>
    <row r="7">
      <c r="A7" s="4" t="inlineStr">
        <is>
          <t>NUF 2.1</t>
        </is>
      </c>
      <c r="B7" s="4" t="inlineStr">
        <is>
          <t>Büroräume</t>
        </is>
      </c>
    </row>
    <row r="8">
      <c r="A8" s="4" t="inlineStr">
        <is>
          <t>NUF 2.2</t>
        </is>
      </c>
      <c r="B8" s="4" t="inlineStr">
        <is>
          <t>Großraumbüros</t>
        </is>
      </c>
    </row>
    <row r="9">
      <c r="A9" s="4" t="inlineStr">
        <is>
          <t>NUF 2.3</t>
        </is>
      </c>
      <c r="B9" s="4" t="inlineStr">
        <is>
          <t>Besprechungsräume</t>
        </is>
      </c>
    </row>
    <row r="10">
      <c r="A10" s="4" t="inlineStr">
        <is>
          <t>NUF 3.2</t>
        </is>
      </c>
      <c r="B10" s="4" t="inlineStr">
        <is>
          <t>Werkstätten</t>
        </is>
      </c>
    </row>
    <row r="11">
      <c r="A11" s="4" t="inlineStr">
        <is>
          <t>NUF 3.7</t>
        </is>
      </c>
      <c r="B11" s="4" t="inlineStr">
        <is>
          <t>Küchen</t>
        </is>
      </c>
    </row>
    <row r="12">
      <c r="A12" s="4" t="inlineStr">
        <is>
          <t>NUF 3.8</t>
        </is>
      </c>
      <c r="B12" s="4" t="inlineStr">
        <is>
          <t>Sonderarbeitsräume</t>
        </is>
      </c>
    </row>
    <row r="13">
      <c r="A13" s="4" t="inlineStr">
        <is>
          <t>NUF 4.1</t>
        </is>
      </c>
      <c r="B13" s="4" t="inlineStr">
        <is>
          <t>Lagerräume</t>
        </is>
      </c>
    </row>
    <row r="14">
      <c r="A14" s="4" t="inlineStr">
        <is>
          <t>NUF 4.2</t>
        </is>
      </c>
      <c r="B14" s="4" t="inlineStr">
        <is>
          <t>Archive, Sammlungsräume</t>
        </is>
      </c>
    </row>
    <row r="15">
      <c r="A15" s="4" t="inlineStr">
        <is>
          <t>NUF 4.4</t>
        </is>
      </c>
      <c r="B15" s="4" t="inlineStr">
        <is>
          <t>Annahme- und Ausgaberäume</t>
        </is>
      </c>
    </row>
    <row r="16">
      <c r="A16" s="4" t="inlineStr">
        <is>
          <t>NUF 4.6</t>
        </is>
      </c>
      <c r="B16" s="4" t="inlineStr">
        <is>
          <t>Ausstellungsräume</t>
        </is>
      </c>
    </row>
    <row r="17">
      <c r="A17" s="4" t="inlineStr">
        <is>
          <t>NUF 5.6</t>
        </is>
      </c>
      <c r="B17" s="4" t="inlineStr">
        <is>
          <t>Versammlungsräume</t>
        </is>
      </c>
    </row>
    <row r="18">
      <c r="A18" s="4" t="inlineStr">
        <is>
          <t>NUF 6.1</t>
        </is>
      </c>
      <c r="B18" s="4" t="inlineStr">
        <is>
          <t>Räume mit allg. medizinischer Ausstattung</t>
        </is>
      </c>
    </row>
    <row r="19">
      <c r="A19" s="4" t="inlineStr">
        <is>
          <t>NUF 7.1</t>
        </is>
      </c>
      <c r="B19" s="4" t="inlineStr">
        <is>
          <t>Sanitärräume</t>
        </is>
      </c>
    </row>
    <row r="20">
      <c r="A20" s="4" t="inlineStr">
        <is>
          <t>NUF 7.2</t>
        </is>
      </c>
      <c r="B20" s="4" t="inlineStr">
        <is>
          <t>Garderoben</t>
        </is>
      </c>
    </row>
    <row r="21">
      <c r="A21" s="4" t="inlineStr">
        <is>
          <t>NUF 7.3</t>
        </is>
      </c>
      <c r="B21" s="4" t="inlineStr">
        <is>
          <t>Abstellräume</t>
        </is>
      </c>
    </row>
    <row r="22">
      <c r="A22" s="4" t="inlineStr">
        <is>
          <t>TF 8</t>
        </is>
      </c>
      <c r="B22" s="4" t="inlineStr">
        <is>
          <t>Technikfläche</t>
        </is>
      </c>
    </row>
    <row r="23">
      <c r="A23" s="4" t="inlineStr">
        <is>
          <t>VF 9.1</t>
        </is>
      </c>
      <c r="B23" s="4" t="inlineStr">
        <is>
          <t>Flure, Hallen</t>
        </is>
      </c>
    </row>
    <row r="24">
      <c r="A24" s="4" t="inlineStr">
        <is>
          <t>VF 9.2</t>
        </is>
      </c>
      <c r="B24" s="4" t="inlineStr">
        <is>
          <t>Treppen</t>
        </is>
      </c>
    </row>
    <row r="25">
      <c r="A25" s="4" t="inlineStr">
        <is>
          <t>VF 9.3</t>
        </is>
      </c>
      <c r="B25" s="4" t="inlineStr">
        <is>
          <t>Schächte für Förderanlagen</t>
        </is>
      </c>
    </row>
    <row r="26">
      <c r="A26" s="4" t="inlineStr">
        <is>
          <t>offen</t>
        </is>
      </c>
      <c r="B26" s="4" t="inlineStr">
        <is>
          <t>noch nicht zugeordnet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22" t="inlineStr">
        <is>
          <t>Thema</t>
        </is>
      </c>
      <c r="B1" s="22" t="inlineStr">
        <is>
          <t>Hinweis</t>
        </is>
      </c>
    </row>
    <row r="2">
      <c r="A2" s="23" t="inlineStr">
        <is>
          <t>Gegenstand</t>
        </is>
      </c>
      <c r="B2" s="23" t="inlineStr">
        <is>
          <t>Flächenauswertung nach DIN 277:2021 (Grundflächen und Rauminhalte im Hochbau) über alle Geschosse, die im Repository cafm-acw mit Flächendaten vorliegen.</t>
        </is>
      </c>
    </row>
    <row r="3">
      <c r="A3" s="23" t="inlineStr">
        <is>
          <t>Quelle A</t>
        </is>
      </c>
      <c r="B3" s="23" t="inlineStr">
        <is>
          <t>backend/seed/app_state_live.json – CAFM-Datenstand, Mandant TEN-001 (Testliegenschaft Alpha / Testgebäude A, Geschosse 01 und 02). Fläche = Merkmal „Netto-Raumfläche“, Zuordnung über Merkmal „Nutzungsart“. TEN-002 enthält nur einen Testraum ohne Fläche, TEN-003 keine Objekte.</t>
        </is>
      </c>
    </row>
    <row r="4">
      <c r="A4" s="23" t="inlineStr">
        <is>
          <t>Quelle B</t>
        </is>
      </c>
      <c r="B4" s="23" t="inlineStr">
        <is>
          <t>docs/test-results/F3.2_AEC_Muster_Ergebnis.json – Ergebnis des AEC-Flächenimports der Zeichnung DE-SIE-11154-04-02-01_EG (124 AecDbSpaces, Layer A_Raeume). Fläche = aecArea. In der Zeichnung liegt nur das Erdgeschoss vor.</t>
        </is>
      </c>
    </row>
    <row r="5">
      <c r="A5" s="23" t="inlineStr">
        <is>
          <t>Zuordnung</t>
        </is>
      </c>
      <c r="B5" s="23" t="inlineStr">
        <is>
          <t>DIN-277-Codes wurden aus Raumbezeichnung bzw. Nutzungsart abgeleitet. Untergruppen (z. B. NUF 2.1) sind Vorschläge; Hauptgruppen (NUF 1–7, TF, VF) sind für die Auswertung maßgeblich. Räume mit unklarer Bezeichnung sind in der Raumliste mit „prüfen = ja“ markiert.</t>
        </is>
      </c>
    </row>
    <row r="6">
      <c r="A6" s="23" t="inlineStr">
        <is>
          <t>Nicht zugeordnet</t>
        </is>
      </c>
      <c r="B6" s="23" t="inlineStr">
        <is>
          <t>Der Großteil der DWG-Räume hat keine Raumbezeichnung (Property „Name“ leer). Diese Räume stehen auf „offen“ und erscheinen in der Spalte „nicht zugeordnet“. Sobald der Code in Raumliste!H gesetzt wird, rechnet die Auswertung neu.</t>
        </is>
      </c>
    </row>
    <row r="7">
      <c r="A7" s="23" t="inlineStr">
        <is>
          <t>BGF / KGF</t>
        </is>
      </c>
      <c r="B7" s="23" t="inlineStr">
        <is>
          <t>Nicht ermittelbar (n. e.): Beide Quellen enthalten nur Raumflächen (NRF), keine Geschossumrisse, Wand- oder Konstruktionsflächen. Für BGF = NRF + KGF wird ein BGF-Polygon je Geschoss (DWG-Layer oder CAFM-Merkmal) benötigt.</t>
        </is>
      </c>
    </row>
    <row r="8">
      <c r="A8" s="23" t="inlineStr">
        <is>
          <t>Bereiche a/b/c</t>
        </is>
      </c>
      <c r="B8" s="23" t="inlineStr">
        <is>
          <t>Alle Flächen wurden als Bereich a (regulär umschlossen) gewertet; Balkone, Loggien o. Ä. sind in den Quellen nicht gekennzeichnet.</t>
        </is>
      </c>
    </row>
    <row r="9">
      <c r="A9" s="23" t="inlineStr">
        <is>
          <t>Datenqualität</t>
        </is>
      </c>
      <c r="B9" s="23" t="inlineStr">
        <is>
          <t>Geschoss OBJ-031: Name „02“ und Nummer „1.Obergeschoss“ sind im CAFM vertauscht gepflegt. Raum 101 (Testraum) hat keine Netto-Raumfläche. DWG-Raum 0069 hat die Nummer „??“. Das DWG-Property „OKFFB“ enthält Ziffern 1–9, die keiner DIN-277-Gruppe konsistent entsprechen (z. B. Büros = 1) und wurden daher nicht verwendet. Umlaute aus der DWG (CP850) wurden korrigiert.</t>
        </is>
      </c>
    </row>
    <row r="10">
      <c r="A10" s="23" t="inlineStr">
        <is>
          <t>Systemabgleich</t>
        </is>
      </c>
      <c r="B10" s="23" t="inlineStr">
        <is>
          <t>Das CAFM ACW kennt DIN 277 bisher als zentral gepflegten Systemkatalog, als Merkmal „DIN-277-Kategorie“ (Freitext beim BIM-Import) und für Piktogramme. Eine fertige DIN-277-Auswertung je Geschoss gibt es im System noch nicht; das Mandantenmerkmal „Nutzungsart“ nutzt aktuell einen Testkatalog (Büro, Besprechung, Technik).</t>
        </is>
      </c>
    </row>
    <row r="11">
      <c r="A11" s="23" t="inlineStr">
        <is>
          <t>Bedienung</t>
        </is>
      </c>
      <c r="B11" s="23" t="inlineStr">
        <is>
          <t>Gelbe Zellen in Raumliste!H sind die einzigen Eingabezellen (Dropdown aus Blatt „DIN277-Katalog“). Alle Summen und Kennzahlen sind Formeln.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2026-10-18T11:02:40Z</dcterms:created>
  <dcterms:modified xsi:type="dcterms:W3CDTF">2026-10-18T11:02:40Z</dcterms:modified>
</cp:coreProperties>
</file>